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4fd69e205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19c8b99bef14656"/>
    <x:sheet xmlns:r="http://schemas.openxmlformats.org/officeDocument/2006/relationships" name="POI数据库" sheetId="2" r:id="R0ea450c859d04695"/>
    <x:sheet xmlns:r="http://schemas.openxmlformats.org/officeDocument/2006/relationships" name="线路模板" sheetId="3" r:id="R34e42ea66b4d4c9b"/>
    <x:sheet xmlns:r="http://schemas.openxmlformats.org/officeDocument/2006/relationships" name="体检套餐价格" sheetId="4" r:id="Ref83597440e04fda"/>
    <x:sheet xmlns:r="http://schemas.openxmlformats.org/officeDocument/2006/relationships" name="价格规则" sheetId="5" r:id="R86ebfd57d1b54cb9"/>
    <x:sheet xmlns:r="http://schemas.openxmlformats.org/officeDocument/2006/relationships" name="路线组合器" sheetId="6" r:id="R1885050a69504f60"/>
    <x:sheet xmlns:r="http://schemas.openxmlformats.org/officeDocument/2006/relationships" name="未补价清单" sheetId="7" r:id="R3609c427bf9141cd"/>
    <x:sheet xmlns:r="http://schemas.openxmlformats.org/officeDocument/2006/relationships" name="字段字典" sheetId="8" r:id="Raa5ec04711a04ad7"/>
    <x:sheet xmlns:r="http://schemas.openxmlformats.org/officeDocument/2006/relationships" name="源点位表" sheetId="9" r:id="Rf9b920544c5443ac"/>
    <x:sheet xmlns:r="http://schemas.openxmlformats.org/officeDocument/2006/relationships" name="本次补价记录" sheetId="10" r:id="R33aacf53bc5d4d9d"/>
  </x:sheets>
</x:workbook>
</file>

<file path=xl/sharedStrings.xml><?xml version="1.0" encoding="utf-8"?>
<x:sst xmlns:x="http://schemas.openxmlformats.org/spreadsheetml/2006/main">
  <x:si>
    <x:t xml:space="preserve">HZH医旅POI多维标签数据库</x:t>
  </x:si>
  <x:si>
    <x:t xml:space="preserve">生成时间</x:t>
  </x:si>
  <x:si>
    <x:t xml:space="preserve">用途</x:t>
  </x:si>
  <x:si>
    <x:t xml:space="preserve">用于根据用户需求快速筛选医疗、体检、旅游、餐饮、住宿与服务标准POI，组合医旅线路。</x:t>
  </x:si>
  <x:si>
    <x:t xml:space="preserve">使用方式</x:t>
  </x:si>
  <x:si>
    <x:t xml:space="preserve">价格口径</x:t>
  </x:si>
  <x:si>
    <x:t xml:space="preserve">关键指标</x:t>
  </x:si>
  <x:si>
    <x:t xml:space="preserve">数量/金额</x:t>
  </x:si>
  <x:si>
    <x:t xml:space="preserve">类型分布</x:t>
  </x:si>
  <x:si>
    <x:t xml:space="preserve">数量</x:t>
  </x:si>
  <x:si>
    <x:t xml:space="preserve">价格状态</x:t>
  </x:si>
  <x:si>
    <x:t xml:space="preserve">POI总数</x:t>
  </x:si>
  <x:si>
    <x:t xml:space="preserve">体检</x:t>
  </x:si>
  <x:si>
    <x:t xml:space="preserve">旅游POI</x:t>
  </x:si>
  <x:si>
    <x:t xml:space="preserve">旅游</x:t>
  </x:si>
  <x:si>
    <x:t xml:space="preserve">体检/医疗POI</x:t>
  </x:si>
  <x:si>
    <x:t xml:space="preserve">住宿</x:t>
  </x:si>
  <x:si>
    <x:t xml:space="preserve">服务/餐/住宿/礼品</x:t>
  </x:si>
  <x:si>
    <x:t xml:space="preserve">餐费</x:t>
  </x:si>
  <x:si>
    <x:t xml:space="preserve">路线模板数</x:t>
  </x:si>
  <x:si>
    <x:t xml:space="preserve">服务标准</x:t>
  </x:si>
  <x:si>
    <x:t xml:space="preserve">缺价格/待确认</x:t>
  </x:si>
  <x:si>
    <x:t xml:space="preserve">伴手礼</x:t>
  </x:si>
  <x:si>
    <x:t xml:space="preserve">下一步建议</x:t>
  </x:si>
  <x:si>
    <x:t xml:space="preserve">线路ID</x:t>
  </x:si>
  <x:si>
    <x:t xml:space="preserve">线路名称</x:t>
  </x:si>
  <x:si>
    <x:t xml:space="preserve">英文名</x:t>
  </x:si>
  <x:si>
    <x:t xml:space="preserve">定位</x:t>
  </x:si>
  <x:si>
    <x:t xml:space="preserve">特色服务</x:t>
  </x:si>
  <x:si>
    <x:t xml:space="preserve">线路特色</x:t>
  </x:si>
  <x:si>
    <x:t xml:space="preserve">地点</x:t>
  </x:si>
  <x:si>
    <x:t xml:space="preserve">建议天数</x:t>
  </x:si>
  <x:si>
    <x:t xml:space="preserve">住宿预算</x:t>
  </x:si>
  <x:si>
    <x:t xml:space="preserve">用餐预算</x:t>
  </x:si>
  <x:si>
    <x:t xml:space="preserve">成本_1成人</x:t>
  </x:si>
  <x:si>
    <x:t xml:space="preserve">成本_增成人</x:t>
  </x:si>
  <x:si>
    <x:t xml:space="preserve">成本_增儿童</x:t>
  </x:si>
  <x:si>
    <x:t xml:space="preserve">成本_4人</x:t>
  </x:si>
  <x:si>
    <x:t xml:space="preserve">成本_6人</x:t>
  </x:si>
  <x:si>
    <x:t xml:space="preserve">售价_1成人</x:t>
  </x:si>
  <x:si>
    <x:t xml:space="preserve">售价_增成人</x:t>
  </x:si>
  <x:si>
    <x:t xml:space="preserve">售价_增儿童</x:t>
  </x:si>
  <x:si>
    <x:t xml:space="preserve">售价_4人</x:t>
  </x:si>
  <x:si>
    <x:t xml:space="preserve">售价_6人</x:t>
  </x:si>
  <x:si>
    <x:t xml:space="preserve">必选POI_ID建议</x:t>
  </x:si>
  <x:si>
    <x:t xml:space="preserve">可选POI_ID建议</x:t>
  </x:si>
  <x:si>
    <x:t xml:space="preserve">来源</x:t>
  </x:si>
  <x:si>
    <x:t xml:space="preserve">备注</x:t>
  </x:si>
  <x:si>
    <x:t xml:space="preserve">R001</x:t>
  </x:si>
  <x:si>
    <x:t xml:space="preserve">东方本草・中医养生之旅</x:t>
  </x:si>
  <x:si>
    <x:t xml:space="preserve">TCM Holistic Revival Retreat</x:t>
  </x:si>
  <x:si>
    <x:t xml:space="preserve">引流款</x:t>
  </x:si>
  <x:si>
    <x:t xml:space="preserve">体质辨识、非遗针灸、推拿调理、药膳食疗</x:t>
  </x:si>
  <x:si>
    <x:t xml:space="preserve">非遗中医体质调理 + 西湖美景疗愈，一站式焕活身心元气</x:t>
  </x:si>
  <x:si>
    <x:t xml:space="preserve">杭州/西湖/胡庆余堂</x:t>
  </x:si>
  <x:si>
    <x:t xml:space="preserve">400元/晚</x:t>
  </x:si>
  <x:si>
    <x:t xml:space="preserve">120-200元/人</x:t>
  </x:si>
  <x:si>
    <x:t xml:space="preserve">已补充</x:t>
  </x:si>
  <x:si>
    <x:t xml:space="preserve">POI048,POI016,POI017,POI009,POI059</x:t>
  </x:si>
  <x:si>
    <x:t xml:space="preserve">POI005,POI037,POI056,POI062</x:t>
  </x:si>
  <x:si>
    <x:t xml:space="preserve">康养文旅 p1-p4</x:t>
  </x:si>
  <x:si>
    <x:t xml:space="preserve">标准版；超过12人订制</x:t>
  </x:si>
  <x:si>
    <x:t xml:space="preserve">R002</x:t>
  </x:si>
  <x:si>
    <x:t xml:space="preserve">禅茶一味・径山归真之旅</x:t>
  </x:si>
  <x:si>
    <x:t xml:space="preserve">Zen Tea &amp; Serenity Journey</x:t>
  </x:si>
  <x:si>
    <x:t xml:space="preserve">待定</x:t>
  </x:si>
  <x:si>
    <x:t xml:space="preserve">径山禅修、径山茶宴、宋代点茶、禅寺静心、抄经祈福</x:t>
  </x:si>
  <x:si>
    <x:t xml:space="preserve">千年径山禅修 + 非遗径山茶宴，禅茶一味，沉浸式静心疗愈</x:t>
  </x:si>
  <x:si>
    <x:t xml:space="preserve">杭州/径山</x:t>
  </x:si>
  <x:si>
    <x:t xml:space="preserve">500-700元/晚</x:t>
  </x:si>
  <x:si>
    <x:t xml:space="preserve">120-300元/人</x:t>
  </x:si>
  <x:si>
    <x:t xml:space="preserve">售价待定</x:t>
  </x:si>
  <x:si>
    <x:t xml:space="preserve">POI050,POI010,POI023,POI019</x:t>
  </x:si>
  <x:si>
    <x:t xml:space="preserve">POI025,POI062</x:t>
  </x:si>
  <x:si>
    <x:t xml:space="preserve">康养文旅 p5-p7</x:t>
  </x:si>
  <x:si>
    <x:t xml:space="preserve">价格合计待定；售价需确认</x:t>
  </x:si>
  <x:si>
    <x:t xml:space="preserve">R003</x:t>
  </x:si>
  <x:si>
    <x:t xml:space="preserve">西湖秘境・自然疗愈之旅</x:t>
  </x:si>
  <x:si>
    <x:t xml:space="preserve">West Lake Nature Healing Escape</x:t>
  </x:si>
  <x:si>
    <x:t xml:space="preserve">销量款</x:t>
  </x:si>
  <x:si>
    <x:t xml:space="preserve">西湖游船、古街探秘、湿地生态、运河古韵</x:t>
  </x:si>
  <x:si>
    <x:t xml:space="preserve">西湖 + 西溪 + 运河三重自然秘境，生态疗愈舒缓身心</x:t>
  </x:si>
  <x:si>
    <x:t xml:space="preserve">杭州/西湖/西溪/运河</x:t>
  </x:si>
  <x:si>
    <x:t xml:space="preserve">600-900元/晚</x:t>
  </x:si>
  <x:si>
    <x:t xml:space="preserve">POI048,POI005,POI060</x:t>
  </x:si>
  <x:si>
    <x:t xml:space="preserve">POI012,POI036,POI053,POI062</x:t>
  </x:si>
  <x:si>
    <x:t xml:space="preserve">康养文旅 p8-p10</x:t>
  </x:si>
  <x:si>
    <x:t xml:space="preserve">R004</x:t>
  </x:si>
  <x:si>
    <x:t xml:space="preserve">宋韵雅集・东方风雅之旅</x:t>
  </x:si>
  <x:si>
    <x:t xml:space="preserve">Song Dynasty Elegance Immersion</x:t>
  </x:si>
  <x:si>
    <x:t xml:space="preserve">利润款</x:t>
  </x:si>
  <x:si>
    <x:t xml:space="preserve">汉服换装、古迹巡礼、非遗手作、宋代点茶、画舫夜游</x:t>
  </x:si>
  <x:si>
    <x:t xml:space="preserve">宋韵汉服沉浸式体验 + 非遗雅艺，赴一场东方美学疗愈之约</x:t>
  </x:si>
  <x:si>
    <x:t xml:space="preserve">杭州/德寿宫/西湖</x:t>
  </x:si>
  <x:si>
    <x:t xml:space="preserve">200-500元/人</x:t>
  </x:si>
  <x:si>
    <x:t xml:space="preserve">POI048,POI018,POI013,POI019</x:t>
  </x:si>
  <x:si>
    <x:t xml:space="preserve">POI005,POI035,POI061,POI062</x:t>
  </x:si>
  <x:si>
    <x:t xml:space="preserve">康养文旅 p10-p13</x:t>
  </x:si>
  <x:si>
    <x:t xml:space="preserve">R005</x:t>
  </x:si>
  <x:si>
    <x:t xml:space="preserve">心灵疗愈・禅意净心之旅</x:t>
  </x:si>
  <x:si>
    <x:t xml:space="preserve">Mind Healing &amp; Zen Peace Journey</x:t>
  </x:si>
  <x:si>
    <x:t xml:space="preserve">正念冥想、颂钵音疗、禅意静心、情绪疏导、正念行走</x:t>
  </x:si>
  <x:si>
    <x:t xml:space="preserve">禅宗正念 + 音声疗愈，深度舒缓压力、净化情绪，重塑身心平静</x:t>
  </x:si>
  <x:si>
    <x:t xml:space="preserve">杭州/灵隐/永福寺</x:t>
  </x:si>
  <x:si>
    <x:t xml:space="preserve">POI048,POI010,POI058</x:t>
  </x:si>
  <x:si>
    <x:t xml:space="preserve">POI037,POI061,POI062</x:t>
  </x:si>
  <x:si>
    <x:t xml:space="preserve">康养文旅 p13-p16</x:t>
  </x:si>
  <x:si>
    <x:t xml:space="preserve">成本已记录；售价需确认</x:t>
  </x:si>
  <x:si>
    <x:t xml:space="preserve">R006</x:t>
  </x:si>
  <x:si>
    <x:t xml:space="preserve">龙井茶韵・茶文化深度之旅</x:t>
  </x:si>
  <x:si>
    <x:t xml:space="preserve">Longjing Tea Culture Deep Tour</x:t>
  </x:si>
  <x:si>
    <x:t xml:space="preserve">茶园采茶、手工炒茶、专业品鉴、茶宴体验、茶博研学</x:t>
  </x:si>
  <x:si>
    <x:t xml:space="preserve">一站式深度体验西湖龙井全产业链，沉浸式感受中国茶文化精髓</x:t>
  </x:si>
  <x:si>
    <x:t xml:space="preserve">杭州/龙坞/龙井</x:t>
  </x:si>
  <x:si>
    <x:t xml:space="preserve">POI048,POI020,POI021,POI022,POI061</x:t>
  </x:si>
  <x:si>
    <x:t xml:space="preserve">POI037,POI062</x:t>
  </x:si>
  <x:si>
    <x:t xml:space="preserve">康养文旅 p16-p19</x:t>
  </x:si>
  <x:si>
    <x:t xml:space="preserve">R007</x:t>
  </x:si>
  <x:si>
    <x:t xml:space="preserve">灵境寻幽・铜鉴湖花海疗愈之旅</x:t>
  </x:si>
  <x:si>
    <x:t xml:space="preserve">Ethereal Escape · Tongjian Lake Floral Wellness Retreat</x:t>
  </x:si>
  <x:si>
    <x:t xml:space="preserve">花海漫步、铜鉴湖游船、花海品茗、湖边露营、灵山幻境沉游览</x:t>
  </x:si>
  <x:si>
    <x:t xml:space="preserve">灵山幻境溶洞观赏，铜鉴湖花海湿地慢游，低节奏轻康养</x:t>
  </x:si>
  <x:si>
    <x:t xml:space="preserve">杭州/铜鉴湖</x:t>
  </x:si>
  <x:si>
    <x:t xml:space="preserve">349元/晚</x:t>
  </x:si>
  <x:si>
    <x:t xml:space="preserve">128元/人</x:t>
  </x:si>
  <x:si>
    <x:t xml:space="preserve">POI051,POI052,POI053,POI057</x:t>
  </x:si>
  <x:si>
    <x:t xml:space="preserve">POI062</x:t>
  </x:si>
  <x:si>
    <x:t xml:space="preserve">康养文旅 p19-p22</x:t>
  </x:si>
  <x:si>
    <x:t xml:space="preserve">2日慢游；半日车导价格单列</x:t>
  </x:si>
  <x:si>
    <x:t xml:space="preserve">R008</x:t>
  </x:si>
  <x:si>
    <x:t xml:space="preserve">西湖康养・筋骨调养之旅</x:t>
  </x:si>
  <x:si>
    <x:t xml:space="preserve">West Lake Bone &amp; Muscle Conditioning Retreat</x:t>
  </x:si>
  <x:si>
    <x:t xml:space="preserve">晨光太极、国医正骨、筋膜松解、茶园骑行、筋骨养护</x:t>
  </x:si>
  <x:si>
    <x:t xml:space="preserve">中医正骨理筋 + 太极养生，舒缓颈肩腰腿痛与长途飞行疲劳</x:t>
  </x:si>
  <x:si>
    <x:t xml:space="preserve">杭州/西湖/胡庆余堂/龙坞</x:t>
  </x:si>
  <x:si>
    <x:t xml:space="preserve">400-500元/晚</x:t>
  </x:si>
  <x:si>
    <x:t xml:space="preserve">POI048,POI024,POI017,POI007,POI061</x:t>
  </x:si>
  <x:si>
    <x:t xml:space="preserve">康养文旅 p22-p25</x:t>
  </x:si>
  <x:si>
    <x:t xml:space="preserve">套餐ID</x:t>
  </x:si>
  <x:si>
    <x:t xml:space="preserve">套餐名称_数据库</x:t>
  </x:si>
  <x:si>
    <x:t xml:space="preserve">PDF套餐名</x:t>
  </x:si>
  <x:si>
    <x:t xml:space="preserve">医疗级别</x:t>
  </x:si>
  <x:si>
    <x:t xml:space="preserve">检查范围</x:t>
  </x:si>
  <x:si>
    <x:t xml:space="preserve">适用天数</x:t>
  </x:si>
  <x:si>
    <x:t xml:space="preserve">男_团体优惠价</x:t>
  </x:si>
  <x:si>
    <x:t xml:space="preserve">女未婚_团体优惠价</x:t>
  </x:si>
  <x:si>
    <x:t xml:space="preserve">女已婚_团体优惠价</x:t>
  </x:si>
  <x:si>
    <x:t xml:space="preserve">核心特色/差异项</x:t>
  </x:si>
  <x:si>
    <x:t xml:space="preserve">M001</x:t>
  </x:si>
  <x:si>
    <x:t xml:space="preserve">菁选套餐</x:t>
  </x:si>
  <x:si>
    <x:t xml:space="preserve">2026安永数智科技-菁英套餐</x:t>
  </x:si>
  <x:si>
    <x:t xml:space="preserve">菁英/菁选</x:t>
  </x:si>
  <x:si>
    <x:t xml:space="preserve">全面检查</x:t>
  </x:si>
  <x:si>
    <x:t xml:space="preserve">基础科室检查、血尿便/生化/肿瘤标志物、低剂量胸部CT、冠脉钙化积分、头颅MRI、AI-MDT报告等</x:t>
  </x:si>
  <x:si>
    <x:t xml:space="preserve">体检方案书 p7-p11</x:t>
  </x:si>
  <x:si>
    <x:t xml:space="preserve">数据库名称建议统一为“菁英套餐”或“菁选套餐”</x:t>
  </x:si>
  <x:si>
    <x:t xml:space="preserve">M002</x:t>
  </x:si>
  <x:si>
    <x:t xml:space="preserve">尊选套餐</x:t>
  </x:si>
  <x:si>
    <x:t xml:space="preserve">2026安永数智科技-尊享套餐</x:t>
  </x:si>
  <x:si>
    <x:t xml:space="preserve">尊享/尊选</x:t>
  </x:si>
  <x:si>
    <x:t xml:space="preserve">在菁英基础上增加人体成分、肺功能、经颅多普勒、中医体质辨识、粪便DNA肠癌甲基化、胶囊胃镜、腰椎DR等</x:t>
  </x:si>
  <x:si>
    <x:t xml:space="preserve">体检方案书 p12-p17</x:t>
  </x:si>
  <x:si>
    <x:t xml:space="preserve">数据库名称建议统一为“尊享套餐”或“尊选套餐”</x:t>
  </x:si>
  <x:si>
    <x:t xml:space="preserve">M003</x:t>
  </x:si>
  <x:si>
    <x:t xml:space="preserve">甄选套餐</x:t>
  </x:si>
  <x:si>
    <x:t xml:space="preserve">2026安永数智科技-甄选套餐</x:t>
  </x:si>
  <x:si>
    <x:t xml:space="preserve">甄选</x:t>
  </x:si>
  <x:si>
    <x:t xml:space="preserve">高阶全面检查，含粪便DNA肠癌甲基化、DNA损伤修复能力评估、七种肺癌抗体、微量元素、脑区智能医学脑检评估、胶囊胃镜等</x:t>
  </x:si>
  <x:si>
    <x:t xml:space="preserve">体检方案书 p18-p24</x:t>
  </x:si>
  <x:si>
    <x:t xml:space="preserve">源点位表标记半日；实际以机构排期为准</x:t>
  </x:si>
  <x:si>
    <x:t xml:space="preserve">M004</x:t>
  </x:si>
  <x:si>
    <x:t xml:space="preserve">邵逸夫B2</x:t>
  </x:si>
  <x:si>
    <x:t xml:space="preserve">未提供</x:t>
  </x:si>
  <x:si>
    <x:t xml:space="preserve">医疗专项</x:t>
  </x:si>
  <x:si>
    <x:t xml:space="preserve">单项/专项医疗</x:t>
  </x:si>
  <x:si>
    <x:t xml:space="preserve">B2医疗点位，需补充具体科室/项目/价格/预约周期</x:t>
  </x:si>
  <x:si>
    <x:t xml:space="preserve">源点位表</x:t>
  </x:si>
  <x:si>
    <x:t xml:space="preserve">缺价格</x:t>
  </x:si>
  <x:si>
    <x:t xml:space="preserve">规则ID</x:t>
  </x:si>
  <x:si>
    <x:t xml:space="preserve">价格对象</x:t>
  </x:si>
  <x:si>
    <x:t xml:space="preserve">适用人数/场景</x:t>
  </x:si>
  <x:si>
    <x:t xml:space="preserve">成本价_元</x:t>
  </x:si>
  <x:si>
    <x:t xml:space="preserve">售价_元</x:t>
  </x:si>
  <x:si>
    <x:t xml:space="preserve">价格下限_元</x:t>
  </x:si>
  <x:si>
    <x:t xml:space="preserve">价格上限_元</x:t>
  </x:si>
  <x:si>
    <x:t xml:space="preserve">计价单位</x:t>
  </x:si>
  <x:si>
    <x:t xml:space="preserve">PR001</x:t>
  </x:si>
  <x:si>
    <x:t xml:space="preserve">常规车导组合</x:t>
  </x:si>
  <x:si>
    <x:t xml:space="preserve">1-3人私家车+导游</x:t>
  </x:si>
  <x:si>
    <x:t xml:space="preserve">元/团/日</x:t>
  </x:si>
  <x:si>
    <x:t xml:space="preserve">康养文旅 p1,p8,p11,p13,p16,p22</x:t>
  </x:si>
  <x:si>
    <x:t xml:space="preserve">宋韵线使用2000，其他常规线1800</x:t>
  </x:si>
  <x:si>
    <x:t xml:space="preserve">PR002</x:t>
  </x:si>
  <x:si>
    <x:t xml:space="preserve">4-5人商务车+导游</x:t>
  </x:si>
  <x:si>
    <x:t xml:space="preserve">宋韵线使用2800，其他常规线2600</x:t>
  </x:si>
  <x:si>
    <x:t xml:space="preserve">PR003</x:t>
  </x:si>
  <x:si>
    <x:t xml:space="preserve">6-12人中巴+导游</x:t>
  </x:si>
  <x:si>
    <x:t xml:space="preserve">宋韵线使用3800，其他常规线3600</x:t>
  </x:si>
  <x:si>
    <x:t xml:space="preserve">PR004</x:t>
  </x:si>
  <x:si>
    <x:t xml:space="preserve">铜鉴湖半日车导</x:t>
  </x:si>
  <x:si>
    <x:t xml:space="preserve">1-3人</x:t>
  </x:si>
  <x:si>
    <x:t xml:space="preserve">元/团/半日</x:t>
  </x:si>
  <x:si>
    <x:t xml:space="preserve">康养文旅 p20</x:t>
  </x:si>
  <x:si>
    <x:t xml:space="preserve">用车半天，导游按一天核算</x:t>
  </x:si>
  <x:si>
    <x:t xml:space="preserve">PR005</x:t>
  </x:si>
  <x:si>
    <x:t xml:space="preserve">4-5人</x:t>
  </x:si>
  <x:si>
    <x:t xml:space="preserve">PR006</x:t>
  </x:si>
  <x:si>
    <x:t xml:space="preserve">6-12人</x:t>
  </x:si>
  <x:si>
    <x:t xml:space="preserve">PR007</x:t>
  </x:si>
  <x:si>
    <x:t xml:space="preserve">通用住宿标准</x:t>
  </x:si>
  <x:si>
    <x:t xml:space="preserve">标准住宿预算</x:t>
  </x:si>
  <x:si>
    <x:t xml:space="preserve">元/人/晚</x:t>
  </x:si>
  <x:si>
    <x:t xml:space="preserve">HZH产品点位表</x:t>
  </x:si>
  <x:si>
    <x:t xml:space="preserve">源点位表有500/800两个标准</x:t>
  </x:si>
  <x:si>
    <x:t xml:space="preserve">PR008</x:t>
  </x:si>
  <x:si>
    <x:t xml:space="preserve">通用餐标</x:t>
  </x:si>
  <x:si>
    <x:t xml:space="preserve">标准餐费预算</x:t>
  </x:si>
  <x:si>
    <x:t xml:space="preserve">元/人/餐</x:t>
  </x:si>
  <x:si>
    <x:t xml:space="preserve">源点位表有200/300两个标准</x:t>
  </x:si>
  <x:si>
    <x:t xml:space="preserve">PR009</x:t>
  </x:si>
  <x:si>
    <x:t xml:space="preserve">丝巾+茶叶</x:t>
  </x:si>
  <x:si>
    <x:t xml:space="preserve">元/人</x:t>
  </x:si>
  <x:si>
    <x:t xml:space="preserve">康养文旅 p4,p7,p9,p12,p18,p24</x:t>
  </x:si>
  <x:si>
    <x:t xml:space="preserve">各线路可替换主题礼盒</x:t>
  </x:si>
  <x:si>
    <x:t xml:space="preserve">路线组合器</x:t>
  </x:si>
  <x:si>
    <x:t xml:space="preserve">说明</x:t>
  </x:si>
  <x:si>
    <x:t xml:space="preserve">在B9:B28输入或下拉选择POI_ID，系统自动带出名称/类别/价格并计算小计。单价默认取售价；价格待确认项目小计为0。</x:t>
  </x:si>
  <x:si>
    <x:t xml:space="preserve">基础参数</x:t>
  </x:si>
  <x:si>
    <x:t xml:space="preserve">成人数</x:t>
  </x:si>
  <x:si>
    <x:t xml:space="preserve">儿童数</x:t>
  </x:si>
  <x:si>
    <x:t xml:space="preserve">价格模式</x:t>
  </x:si>
  <x:si>
    <x:t xml:space="preserve">售价</x:t>
  </x:si>
  <x:si>
    <x:t xml:space="preserve">合计估算</x:t>
  </x:si>
  <x:si>
    <x:t xml:space="preserve">总价</x:t>
  </x:si>
  <x:si>
    <x:t xml:space="preserve">序号</x:t>
  </x:si>
  <x:si>
    <x:t xml:space="preserve">输入POI_ID</x:t>
  </x:si>
  <x:si>
    <x:t xml:space="preserve">POI名称</x:t>
  </x:si>
  <x:si>
    <x:t xml:space="preserve">一级模块</x:t>
  </x:si>
  <x:si>
    <x:t xml:space="preserve">二级类别</x:t>
  </x:si>
  <x:si>
    <x:t xml:space="preserve">推荐时长</x:t>
  </x:si>
  <x:si>
    <x:t xml:space="preserve">价格显示</x:t>
  </x:si>
  <x:si>
    <x:t xml:space="preserve">单价_元</x:t>
  </x:si>
  <x:si>
    <x:t xml:space="preserve">小计_元</x:t>
  </x:si>
  <x:si>
    <x:t xml:space="preserve">价格说明/备注</x:t>
  </x:si>
  <x:si>
    <x:t xml:space="preserve">字段/维度</x:t>
  </x:si>
  <x:si>
    <x:t xml:space="preserve">可选值或说明</x:t>
  </x:si>
  <x:si>
    <x:t xml:space="preserve">体检/旅游/住宿/餐费/服务标准/伴手礼</x:t>
  </x:si>
  <x:si>
    <x:t xml:space="preserve">组合线路的大类筛选</x:t>
  </x:si>
  <x:si>
    <x:t xml:space="preserve">旅游兴趣类型</x:t>
  </x:si>
  <x:si>
    <x:t xml:space="preserve">自然/人文/体验/科技/演出/杭州外</x:t>
  </x:si>
  <x:si>
    <x:t xml:space="preserve">根据用户兴趣筛选旅游POI</x:t>
  </x:si>
  <x:si>
    <x:t xml:space="preserve">时长筛选</x:t>
  </x:si>
  <x:si>
    <x:t xml:space="preserve">0-1小时/1-2小时/2-4小时/半日/1日/2日/不限</x:t>
  </x:si>
  <x:si>
    <x:t xml:space="preserve">用于行程节奏与空档填充</x:t>
  </x:si>
  <x:si>
    <x:t xml:space="preserve">节奏</x:t>
  </x:si>
  <x:si>
    <x:t xml:space="preserve">便于控制行程强度</x:t>
  </x:si>
  <x:si>
    <x:t xml:space="preserve">判断是否可直接报价</x:t>
  </x:si>
  <x:si>
    <x:t xml:space="preserve">价格字段</x:t>
  </x:si>
  <x:si>
    <x:t xml:space="preserve">支持报价与区间估算</x:t>
  </x:si>
  <x:si>
    <x:t xml:space="preserve">医疗维度</x:t>
  </x:si>
  <x:si>
    <x:t xml:space="preserve">医疗级别/体检等级、检查范围、适用天数</x:t>
  </x:si>
  <x:si>
    <x:t xml:space="preserve">匹配体检/专项医疗需求</x:t>
  </x:si>
  <x:si>
    <x:t xml:space="preserve">适用行程天数</x:t>
  </x:si>
  <x:si>
    <x:t xml:space="preserve">小时按8小时=1日折算；半日=0.5；2日=2</x:t>
  </x:si>
  <x:si>
    <x:t xml:space="preserve">用于路线总时长估算</x:t>
  </x:si>
  <x:si>
    <x:t xml:space="preserve">待补价格优先级</x:t>
  </x:si>
  <x:si>
    <x:t xml:space="preserve">企业参访、上海/义乌延伸、良渚/版本馆、邵逸夫B2医疗专项</x:t>
  </x:si>
  <x:si>
    <x:t xml:space="preserve">下一轮补价重点</x:t>
  </x:si>
  <x:si>
    <x:t xml:space="preserve">数据来源</x:t>
  </x:si>
  <x:si>
    <x:t xml:space="preserve">HZH产品点位表；2026美年健康体检企业方案书；康养文旅定制化套餐含价格</x:t>
  </x:si>
  <x:si>
    <x:t xml:space="preserve">本数据库整合来源</x:t>
  </x:si>
  <x:si>
    <x:t xml:space="preserve">HZH产品点位</x:t>
  </x:si>
  <x:si>
    <x:t xml:space="preserve">25</x:t>
  </x:si>
  <x:si>
    <x:t xml:space="preserve">类型</x:t>
  </x:si>
  <x:si>
    <x:t xml:space="preserve">类别</x:t>
  </x:si>
  <x:si>
    <x:t xml:space="preserve">点位</x:t>
  </x:si>
  <x:si>
    <x:t xml:space="preserve">时长</x:t>
  </x:si>
  <x:si>
    <x:t xml:space="preserve">机构</x:t>
  </x:si>
  <x:si>
    <x:t xml:space="preserve">杭州</x:t>
  </x:si>
  <x:si>
    <x:t xml:space="preserve">胶囊胃镜</x:t>
  </x:si>
  <x:si>
    <x:t xml:space="preserve">半日</x:t>
  </x:si>
  <x:si>
    <x:t xml:space="preserve">1日</x:t>
  </x:si>
  <x:si>
    <x:t xml:space="preserve">医疗</x:t>
  </x:si>
  <x:si>
    <x:t xml:space="preserve">2日</x:t>
  </x:si>
  <x:si>
    <x:t xml:space="preserve">自然</x:t>
  </x:si>
  <x:si>
    <x:t xml:space="preserve">西湖环湖慢享（电瓶车+游船）</x:t>
  </x:si>
  <x:si>
    <x:t xml:space="preserve">1小时</x:t>
  </x:si>
  <x:si>
    <x:t xml:space="preserve">苏堤漫步</x:t>
  </x:si>
  <x:si>
    <x:t xml:space="preserve">龙坞茶村漫步</x:t>
  </x:si>
  <x:si>
    <x:t xml:space="preserve">良渚古城遗址公园</x:t>
  </x:si>
  <x:si>
    <x:t xml:space="preserve">1.5小时</x:t>
  </x:si>
  <x:si>
    <x:t xml:space="preserve">人文</x:t>
  </x:si>
  <x:si>
    <x:t xml:space="preserve">人文历史漫步（胡雪岩、河坊街）</x:t>
  </x:si>
  <x:si>
    <x:t xml:space="preserve">禅寺深度巡礼</x:t>
  </x:si>
  <x:si>
    <x:t xml:space="preserve">2小时</x:t>
  </x:si>
  <x:si>
    <x:t xml:space="preserve">中国丝绸博物馆</x:t>
  </x:si>
  <x:si>
    <x:t xml:space="preserve">2.5小时</x:t>
  </x:si>
  <x:si>
    <x:t xml:space="preserve">漫游运河</x:t>
  </x:si>
  <x:si>
    <x:t xml:space="preserve">德寿宫深度</x:t>
  </x:si>
  <x:si>
    <x:t xml:space="preserve">良渚博物院</x:t>
  </x:si>
  <x:si>
    <x:t xml:space="preserve">中国国家版本馆杭州分馆</x:t>
  </x:si>
  <x:si>
    <x:t xml:space="preserve">观胡庆余堂中药博物馆</x:t>
  </x:si>
  <x:si>
    <x:t xml:space="preserve">体验</x:t>
  </x:si>
  <x:si>
    <x:t xml:space="preserve">体质辨识与中医调理</x:t>
  </x:si>
  <x:si>
    <x:t xml:space="preserve">0.5小时</x:t>
  </x:si>
  <x:si>
    <x:t xml:space="preserve">一站式宋韵沉浸</x:t>
  </x:si>
  <x:si>
    <x:t xml:space="preserve">宋代点茶体验</x:t>
  </x:si>
  <x:si>
    <x:t xml:space="preserve">茶园采茶体验</x:t>
  </x:si>
  <x:si>
    <x:t xml:space="preserve">手工炒茶教学</x:t>
  </x:si>
  <x:si>
    <x:t xml:space="preserve">茶叶品鉴研学</x:t>
  </x:si>
  <x:si>
    <x:t xml:space="preserve">径山茶宴与宋代点茶体验</x:t>
  </x:si>
  <x:si>
    <x:t xml:space="preserve">八部金刚功练习</x:t>
  </x:si>
  <x:si>
    <x:t xml:space="preserve">制作茶果子</x:t>
  </x:si>
  <x:si>
    <x:t xml:space="preserve">良渚遗址公园作坊区｜手作体验</x:t>
  </x:si>
  <x:si>
    <x:t xml:space="preserve">科技</x:t>
  </x:si>
  <x:si>
    <x:t xml:space="preserve">阿里巴巴西溪园区参访</x:t>
  </x:si>
  <x:si>
    <x:t xml:space="preserve">吉利汽车总部体验馆</x:t>
  </x:si>
  <x:si>
    <x:t xml:space="preserve">宇树科技机器人展示</x:t>
  </x:si>
  <x:si>
    <x:t xml:space="preserve">海康威视展示中心参观</x:t>
  </x:si>
  <x:si>
    <x:t xml:space="preserve">文三数字生活街区漫游</x:t>
  </x:si>
  <x:si>
    <x:t xml:space="preserve">M511光影汇沉浸体验</x:t>
  </x:si>
  <x:si>
    <x:t xml:space="preserve">颐高数字科技展</x:t>
  </x:si>
  <x:si>
    <x:t xml:space="preserve">演出</x:t>
  </x:si>
  <x:si>
    <x:t xml:space="preserve">钱江新城灯光秀夜游</x:t>
  </x:si>
  <x:si>
    <x:t xml:space="preserve">宫宴晚餐+演出</x:t>
  </x:si>
  <x:si>
    <x:t xml:space="preserve">如梦上塘演出</x:t>
  </x:si>
  <x:si>
    <x:t xml:space="preserve">印象西湖演出</x:t>
  </x:si>
  <x:si>
    <x:t xml:space="preserve">德寿宫《德寿夜宴》</x:t>
  </x:si>
  <x:si>
    <x:t xml:space="preserve">杭州外</x:t>
  </x:si>
  <x:si>
    <x:t xml:space="preserve">上海</x:t>
  </x:si>
  <x:si>
    <x:t xml:space="preserve">豫园、城隍庙、上海老街</x:t>
  </x:si>
  <x:si>
    <x:t xml:space="preserve">浦东陆家嘴城市景观</x:t>
  </x:si>
  <x:si>
    <x:t xml:space="preserve">外滩夜景 / 黄浦江游船（二选一）</x:t>
  </x:si>
  <x:si>
    <x:t xml:space="preserve">上海博物馆东馆</x:t>
  </x:si>
  <x:si>
    <x:t xml:space="preserve">义乌</x:t>
  </x:si>
  <x:si>
    <x:t xml:space="preserve">义乌国际商贸城一区/五区自由购物</x:t>
  </x:si>
  <x:si>
    <x:t xml:space="preserve">500/人 标准</x:t>
  </x:si>
  <x:si>
    <x:t xml:space="preserve">800/人 标准</x:t>
  </x:si>
  <x:si>
    <x:t xml:space="preserve">200/人 标准</x:t>
  </x:si>
  <x:si>
    <x:t xml:space="preserve">300/人 标准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</x:si>
</x:sst>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  <x:numFmt numFmtId="200" formatCode="0"/>
  </x:numFmts>
  <x:fonts count="2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11"/>
      <x:color rgb="FF5A4630"/>
      <x:name val="Carlito"/>
    </x:font>
    <x:font>
      <x:b/>
      <x:sz val="11"/>
      <x:color rgb="FF0B1F3A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FFFFFF"/>
      <x:name val="Carlito"/>
    </x:font>
  </x:fonts>
  <x:fills count="41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FFF7D6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0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8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9" borderId="4" applyNumberFormat="0" applyAlignment="0" applyProtection="0">
      <x:alignment vertical="center"/>
    </x:xf>
    <x:xf numFmtId="0" fontId="15" fillId="10" borderId="5" applyNumberFormat="0" applyAlignment="0" applyProtection="0">
      <x:alignment vertical="center"/>
    </x:xf>
    <x:xf numFmtId="0" fontId="16" fillId="10" borderId="4" applyNumberFormat="0" applyAlignment="0" applyProtection="0">
      <x:alignment vertical="center"/>
    </x:xf>
    <x:xf numFmtId="0" fontId="17" fillId="11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3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4" fillId="37" borderId="0" applyNumberFormat="0" applyBorder="0" applyAlignment="0" applyProtection="0">
      <x:alignment vertical="center"/>
    </x:xf>
    <x:xf numFmtId="0" fontId="23" fillId="38" borderId="0" applyNumberFormat="0" applyBorder="0" applyAlignment="0" applyProtection="0">
      <x:alignment vertical="center"/>
    </x:xf>
    <x:xf numFmtId="0" fontId="0" fillId="0" borderId="0"/>
  </x:cellStyleXfs>
  <x:cellXfs count="57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3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wrapText="1"/>
    </x:xf>
    <x:xf numFmtId="1" fontId="0" fillId="0" borderId="0" xfId="49" applyNumberFormat="1" applyFont="1" applyFill="1" applyBorder="1" applyAlignment="1">
      <x:alignment wrapText="1"/>
    </x:xf>
    <x:xf numFmtId="0" fontId="1" fillId="2" borderId="0" xfId="49" applyNumberFormat="1" applyFont="1" applyFill="1" applyBorder="1" applyAlignment="1">
      <x:alignment horizontal="center" vertical="center"/>
    </x:xf>
    <x:xf numFmtId="0" fontId="3" fillId="4" borderId="0" xfId="49" applyNumberFormat="1" applyFont="1" applyFill="1" applyBorder="1" applyAlignment="1">
      <x:alignment wrapText="1"/>
    </x:xf>
    <x:xf numFmtId="0" fontId="0" fillId="5" borderId="0" xfId="49" applyNumberFormat="1" applyFont="1" applyFill="1" applyBorder="1"/>
    <x:xf numFmtId="0" fontId="4" fillId="6" borderId="0" xfId="49" applyNumberFormat="1" applyFont="1" applyFill="1" applyBorder="1" applyAlignment="1">
      <x:alignment horizontal="center" vertical="center" wrapText="1"/>
    </x:xf>
    <x:xf numFmtId="0" fontId="4" fillId="7" borderId="0" xfId="49" applyNumberFormat="1" applyFont="1" applyFill="1" applyBorder="1" applyAlignment="1">
      <x:alignment horizontal="center" vertical="center" wrapText="1"/>
    </x:xf>
    <x:xf numFmtId="1" fontId="4" fillId="7" borderId="0" xfId="49" applyNumberFormat="1" applyFont="1" applyFill="1" applyBorder="1" applyAlignment="1">
      <x:alignment horizontal="center" vertical="center" wrapText="1"/>
    </x:xf>
    <x:xf numFmtId="176" fontId="0" fillId="0" borderId="0" xfId="49" applyNumberFormat="1" applyFont="1" applyFill="1" applyBorder="1" applyAlignment="1">
      <x:alignment wrapText="1"/>
    </x:xf>
    <x:xf numFmtId="2" fontId="0" fillId="0" borderId="0" xfId="49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wrapText="1"/>
    </x:xf>
    <x:xf numFmtId="1" fontId="0" fillId="0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vertical="center"/>
    </x:xf>
    <x:xf numFmtId="0" fontId="3" fillId="4" borderId="9" xfId="0" applyNumberFormat="1" applyFont="1" applyFill="1" applyBorder="1" applyAlignment="1">
      <x:alignment wrapText="1"/>
    </x:xf>
    <x:xf numFmtId="0" fontId="0" fillId="5" borderId="9" xfId="0" applyNumberFormat="1" applyFont="1" applyFill="1" applyBorder="1"/>
    <x:xf numFmtId="0" fontId="4" fillId="6" borderId="9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1" fontId="4" fillId="7" borderId="9" xfId="0" applyNumberFormat="1" applyFont="1" applyFill="1" applyBorder="1" applyAlignment="1">
      <x:alignment horizontal="center" vertical="center" wrapText="1"/>
    </x:xf>
    <x:xf numFmtId="176" fontId="0" fillId="0" borderId="9" xfId="0" applyNumberFormat="1" applyFont="1" applyFill="1" applyBorder="1" applyAlignment="1">
      <x:alignment wrapText="1"/>
    </x:xf>
    <x:xf numFmtId="2" fontId="0" fillId="0" borderId="9" xfId="0" applyNumberFormat="1" applyFont="1" applyFill="1" applyBorder="1" applyAlignment="1">
      <x:alignment wrapText="1"/>
    </x:xf>
    <x:xf numFmtId="0" fontId="2" fillId="39" borderId="0" xfId="0" applyNumberFormat="1" applyFont="1" applyFill="1" applyBorder="1" applyAlignment="1">
      <x:alignment horizontal="center" vertical="center" wrapText="1"/>
    </x:xf>
    <x:xf numFmtId="0" fontId="2" fillId="39" borderId="9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25" fillId="39" borderId="0" xfId="0" applyNumberFormat="1" applyFont="1" applyFill="1" applyBorder="1"/>
    <x:xf numFmtId="0" fontId="25" fillId="39" borderId="0" xfId="0" applyNumberFormat="1" applyFont="1" applyFill="1" applyBorder="1" applyAlignment="1">
      <x:alignment wrapText="1"/>
    </x:xf>
    <x:xf numFmtId="0" fontId="25" fillId="39" borderId="0" xfId="0" applyNumberFormat="1" applyFont="1" applyFill="1" applyBorder="1" applyAlignment="1">
      <x:alignment horizontal="center" wrapText="1"/>
    </x:xf>
    <x:xf numFmtId="0" fontId="25" fillId="39" borderId="0" xfId="0" applyNumberFormat="1" applyFont="1" applyFill="1" applyBorder="1" applyAlignment="1">
      <x:alignment horizontal="center" vertical="center" wrapText="1"/>
    </x:xf>
    <x:xf numFmtId="0" fontId="0" fillId="39" borderId="9" xfId="0" applyNumberFormat="1" applyFont="1" applyFill="1" applyBorder="1"/>
    <x:xf numFmtId="0" fontId="25" fillId="39" borderId="9" xfId="0" applyNumberFormat="1" applyFont="1" applyFill="1" applyBorder="1"/>
    <x:xf numFmtId="0" fontId="25" fillId="39" borderId="9" xfId="0" applyNumberFormat="1" applyFont="1" applyFill="1" applyBorder="1" applyAlignment="1">
      <x:alignment wrapText="1"/>
    </x:xf>
    <x:xf numFmtId="0" fontId="25" fillId="39" borderId="9" xfId="0" applyNumberFormat="1" applyFont="1" applyFill="1" applyBorder="1" applyAlignment="1">
      <x:alignment horizontal="center" wrapText="1"/>
    </x:xf>
    <x:xf numFmtId="0" fontId="25" fillId="39" borderId="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1" fontId="4" fillId="7" borderId="0" xfId="0" applyNumberFormat="1" applyFont="1" applyFill="1" applyBorder="1" applyAlignment="1">
      <x:alignment horizontal="center" vertical="center" wrapText="1"/>
    </x:xf>
    <x:xf numFmtId="176" fontId="0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0" fontId="2" fillId="40" borderId="0" xfId="0" applyNumberFormat="1" applyFont="1" applyFill="1" applyBorder="1" applyAlignment="1">
      <x:alignment horizontal="center" vertical="center" wrapText="1"/>
    </x:xf>
    <x:xf numFmtId="0" fontId="25" fillId="40" borderId="0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7b4cf04194103" /><Relationship Type="http://schemas.openxmlformats.org/officeDocument/2006/relationships/theme" Target="/xl/theme/theme1.xml" Id="R69ff831ff53840dc" /><Relationship Type="http://schemas.openxmlformats.org/officeDocument/2006/relationships/sharedStrings" Target="/xl/sharedStrings.xml" Id="Ra05c83ea2c044be6" /><Relationship Type="http://schemas.openxmlformats.org/officeDocument/2006/relationships/worksheet" Target="/xl/worksheets/sheet1.xml" Id="R019c8b99bef14656" /><Relationship Type="http://schemas.openxmlformats.org/officeDocument/2006/relationships/worksheet" Target="/xl/worksheets/sheet2.xml" Id="R0ea450c859d04695" /><Relationship Type="http://schemas.openxmlformats.org/officeDocument/2006/relationships/worksheet" Target="/xl/worksheets/sheet3.xml" Id="R34e42ea66b4d4c9b" /><Relationship Type="http://schemas.openxmlformats.org/officeDocument/2006/relationships/worksheet" Target="/xl/worksheets/sheet4.xml" Id="Ref83597440e04fda" /><Relationship Type="http://schemas.openxmlformats.org/officeDocument/2006/relationships/worksheet" Target="/xl/worksheets/sheet5.xml" Id="R86ebfd57d1b54cb9" /><Relationship Type="http://schemas.openxmlformats.org/officeDocument/2006/relationships/worksheet" Target="/xl/worksheets/sheet6.xml" Id="R1885050a69504f60" /><Relationship Type="http://schemas.openxmlformats.org/officeDocument/2006/relationships/worksheet" Target="/xl/worksheets/sheet7.xml" Id="R3609c427bf9141cd" /><Relationship Type="http://schemas.openxmlformats.org/officeDocument/2006/relationships/worksheet" Target="/xl/worksheets/sheet8.xml" Id="Raa5ec04711a04ad7" /><Relationship Type="http://schemas.openxmlformats.org/officeDocument/2006/relationships/worksheet" Target="/xl/worksheets/sheet9.xml" Id="Rf9b920544c5443ac" /><Relationship Type="http://schemas.openxmlformats.org/officeDocument/2006/relationships/worksheet" Target="/xl/worksheets/sheet10.xml" Id="R33aacf53bc5d4d9d" /></Relationships>
</file>

<file path=xl/tables/table1.xml><?xml version="1.0" encoding="utf-8"?>
<x:table xmlns:x="http://schemas.openxmlformats.org/spreadsheetml/2006/main" id="1" name="POITable" displayName="POITable" ref="A1:AB63">
  <x:tableColumns count="28">
    <x:tableColumn id="1" name="POI_ID"/>
    <x:tableColumn id="2" name="一级模块"/>
    <x:tableColumn id="3" name="二级类别"/>
    <x:tableColumn id="4" name="地点"/>
    <x:tableColumn id="5" name="POI名称"/>
    <x:tableColumn id="6" name="子项/机构"/>
    <x:tableColumn id="7" name="所属线路/适用场景"/>
    <x:tableColumn id="8" name="线路定位"/>
    <x:tableColumn id="9" name="兴趣类型"/>
    <x:tableColumn id="10" name="节奏"/>
    <x:tableColumn id="11" name="推荐时长"/>
    <x:tableColumn id="12" name="时长_小时"/>
    <x:tableColumn id="13" name="时长筛选"/>
    <x:tableColumn id="14" name="适用行程天数"/>
    <x:tableColumn id="15" name="医疗级别/体检等级"/>
    <x:tableColumn id="16" name="检查范围"/>
    <x:tableColumn id="17" name="是否必选/可选"/>
    <x:tableColumn id="18" name="价格状态"/>
    <x:tableColumn id="19" name="价格显示"/>
    <x:tableColumn id="20" name="成本价_元"/>
    <x:tableColumn id="21" name="售价_元"/>
    <x:tableColumn id="22" name="价格下限_元"/>
    <x:tableColumn id="23" name="价格上限_元"/>
    <x:tableColumn id="24" name="计价单位"/>
    <x:tableColumn id="25" name="价格说明"/>
    <x:tableColumn id="26" name="来源"/>
    <x:tableColumn id="27" name="备注"/>
    <x:tableColumn id="28" name="组合建议标签"/>
  </x:tableColumns>
  <x:tableStyleInfo name="TableStyleMedium2" showRowStripes="1"/>
</x:table>
</file>

<file path=xl/tables/table2.xml><?xml version="1.0" encoding="utf-8"?>
<x:table xmlns:x="http://schemas.openxmlformats.org/spreadsheetml/2006/main" id="2" name="RouteTemplateTable" displayName="RouteTemplateTable" ref="A1:Y9">
  <x:tableColumns count="25">
    <x:tableColumn id="1" name="线路ID"/>
    <x:tableColumn id="2" name="线路名称"/>
    <x:tableColumn id="3" name="英文名"/>
    <x:tableColumn id="4" name="定位"/>
    <x:tableColumn id="5" name="特色服务"/>
    <x:tableColumn id="6" name="线路特色"/>
    <x:tableColumn id="7" name="地点"/>
    <x:tableColumn id="8" name="建议天数"/>
    <x:tableColumn id="9" name="住宿预算"/>
    <x:tableColumn id="10" name="用餐预算"/>
    <x:tableColumn id="11" name="成本_1成人"/>
    <x:tableColumn id="12" name="成本_增成人"/>
    <x:tableColumn id="13" name="成本_增儿童"/>
    <x:tableColumn id="14" name="成本_4人"/>
    <x:tableColumn id="15" name="成本_6人"/>
    <x:tableColumn id="16" name="售价_1成人"/>
    <x:tableColumn id="17" name="售价_增成人"/>
    <x:tableColumn id="18" name="售价_增儿童"/>
    <x:tableColumn id="19" name="售价_4人"/>
    <x:tableColumn id="20" name="售价_6人"/>
    <x:tableColumn id="21" name="价格状态"/>
    <x:tableColumn id="22" name="必选POI_ID建议"/>
    <x:tableColumn id="23" name="可选POI_ID建议"/>
    <x:tableColumn id="24" name="来源"/>
    <x:tableColumn id="25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MedicalPackageTable" displayName="MedicalPackageTable" ref="A1:L5">
  <x:tableColumns count="12">
    <x:tableColumn id="1" name="套餐ID"/>
    <x:tableColumn id="2" name="套餐名称_数据库"/>
    <x:tableColumn id="3" name="PDF套餐名"/>
    <x:tableColumn id="4" name="医疗级别"/>
    <x:tableColumn id="5" name="检查范围"/>
    <x:tableColumn id="6" name="适用天数"/>
    <x:tableColumn id="7" name="男_团体优惠价"/>
    <x:tableColumn id="8" name="女未婚_团体优惠价"/>
    <x:tableColumn id="9" name="女已婚_团体优惠价"/>
    <x:tableColumn id="10" name="核心特色/差异项"/>
    <x:tableColumn id="11" name="来源"/>
    <x:tableColumn id="12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PriceRuleTable" displayName="PriceRuleTable" ref="A1:J10">
  <x:tableColumns count="10">
    <x:tableColumn id="1" name="规则ID"/>
    <x:tableColumn id="2" name="价格对象"/>
    <x:tableColumn id="3" name="适用人数/场景"/>
    <x:tableColumn id="4" name="成本价_元"/>
    <x:tableColumn id="5" name="售价_元"/>
    <x:tableColumn id="6" name="价格下限_元"/>
    <x:tableColumn id="7" name="价格上限_元"/>
    <x:tableColumn id="8" name="计价单位"/>
    <x:tableColumn id="9" name="来源"/>
    <x:tableColumn id="10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RouteBuilderTable" displayName="RouteBuilderTable" ref="A8:L28">
  <x:tableColumns count="12">
    <x:tableColumn id="1" name="序号"/>
    <x:tableColumn id="2" name="输入POI_ID"/>
    <x:tableColumn id="3" name="POI名称"/>
    <x:tableColumn id="4" name="一级模块"/>
    <x:tableColumn id="5" name="二级类别"/>
    <x:tableColumn id="6" name="地点"/>
    <x:tableColumn id="7" name="推荐时长"/>
    <x:tableColumn id="8" name="价格显示"/>
    <x:tableColumn id="9" name="单价_元"/>
    <x:tableColumn id="10" name="数量"/>
    <x:tableColumn id="11" name="小计_元"/>
    <x:tableColumn id="12" name="价格说明/备注"/>
  </x:tableColumns>
  <x:tableStyleInfo name="TableStyleMedium2" showRowStripes="1"/>
</x:table>
</file>

<file path=xl/tables/table6.xml><?xml version="1.0" encoding="utf-8"?>
<x:table xmlns:x="http://schemas.openxmlformats.org/spreadsheetml/2006/main" id="6" name="MissingPriceTable" displayName="MissingPriceTable" ref="A1:AB23">
  <x:tableColumns count="28">
    <x:tableColumn id="1" name="POI_ID"/>
    <x:tableColumn id="2" name="一级模块"/>
    <x:tableColumn id="3" name="二级类别"/>
    <x:tableColumn id="4" name="地点"/>
    <x:tableColumn id="5" name="POI名称"/>
    <x:tableColumn id="6" name="子项/机构"/>
    <x:tableColumn id="7" name="所属线路/适用场景"/>
    <x:tableColumn id="8" name="线路定位"/>
    <x:tableColumn id="9" name="兴趣类型"/>
    <x:tableColumn id="10" name="节奏"/>
    <x:tableColumn id="11" name="推荐时长"/>
    <x:tableColumn id="12" name="时长_小时"/>
    <x:tableColumn id="13" name="时长筛选"/>
    <x:tableColumn id="14" name="适用行程天数"/>
    <x:tableColumn id="15" name="医疗级别/体检等级"/>
    <x:tableColumn id="16" name="检查范围"/>
    <x:tableColumn id="17" name="是否必选/可选"/>
    <x:tableColumn id="18" name="价格状态"/>
    <x:tableColumn id="19" name="价格显示"/>
    <x:tableColumn id="20" name="成本价_元"/>
    <x:tableColumn id="21" name="售价_元"/>
    <x:tableColumn id="22" name="价格下限_元"/>
    <x:tableColumn id="23" name="价格上限_元"/>
    <x:tableColumn id="24" name="计价单位"/>
    <x:tableColumn id="25" name="价格说明"/>
    <x:tableColumn id="26" name="来源"/>
    <x:tableColumn id="27" name="备注"/>
    <x:tableColumn id="28" name="组合建议标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0aae30ce974f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1c345b4f014c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14906f44eb47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bbbec6041349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2879ecb7a94c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a19619db3b472a" /></Relationships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33.130001068115234" hidden="0" customWidth="1"/>
    <x:col min="2" max="2" width="134.75" hidden="0" customWidth="1"/>
    <x:col min="4" max="4" width="7.880000114440918" hidden="0" customWidth="1"/>
    <x:col min="5" max="5" width="4.25" hidden="0" customWidth="1"/>
    <x:col min="7" max="7" width="12.25" hidden="0" customWidth="1"/>
    <x:col min="8" max="8" width="4.25" hidden="0" customWidth="1"/>
  </x:cols>
  <x:sheetData>
    <x:row r="1" ht="19.200000762939453" customHeight="1">
      <x:c r="A1" s="43" t="s">
        <x:v>0</x:v>
      </x:c>
      <x:c r="B1" s="43"/>
      <x:c r="C1" s="43"/>
      <x:c r="D1" s="43"/>
      <x:c r="E1" s="43"/>
      <x:c r="F1" s="43"/>
      <x:c r="G1" s="43"/>
      <x:c r="H1" s="43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  <x:c r="AA1" s="42"/>
      <x:c r="AB1" s="42"/>
      <x:c r="AC1" s="42"/>
      <x:c r="AD1" s="42"/>
      <x:c r="AE1" s="42"/>
      <x:c r="AF1" s="42"/>
    </x:row>
    <x:row r="2" ht="15" customHeight="1">
      <x:c r="A2" t="s">
        <x:v>1</x:v>
      </x:c>
      <x:c r="B2" t="str">
        <x:v>2026-06-25 06:54</x:v>
      </x:c>
    </x:row>
    <x:row r="3" ht="45" customHeight="1">
      <x:c r="A3" s="3" t="s">
        <x:v>2</x:v>
      </x:c>
      <x:c r="B3" s="3" t="s">
        <x:v>3</x:v>
      </x:c>
      <x:c r="C3" s="3"/>
      <x:c r="D3" s="3"/>
      <x:c r="E3" s="3"/>
      <x:c r="F3" s="3"/>
      <x:c r="G3" s="3"/>
      <x:c r="H3" s="3"/>
    </x:row>
    <x:row r="4" ht="45" customHeight="1">
      <x:c r="A4" s="3" t="s">
        <x:v>4</x:v>
      </x:c>
      <x:c r="B4" s="3" t="str">
        <x:v>1）在「POI数据库」用筛选器按地点/兴趣/时长/价格筛选；2）在「路线组合器」输入POI_ID，自动带出成本/售价并汇总；3）在「未补价清单」只保留仍需确认的价格项。</x:v>
      </x:c>
      <x:c r="C4" s="3"/>
      <x:c r="D4" s="3"/>
      <x:c r="E4" s="3"/>
      <x:c r="F4" s="3"/>
      <x:c r="G4" s="3"/>
      <x:c r="H4" s="3"/>
    </x:row>
    <x:row r="5" ht="45" customHeight="1">
      <x:c r="A5" s="3" t="s">
        <x:v>5</x:v>
      </x:c>
      <x:c r="B5" s="3" t="str">
        <x:v>售价统一按成本价×1.3自动计算；有区间/多规格时，成本上下限与售价上下限分别保留。</x:v>
      </x:c>
      <x:c r="C5" s="3"/>
      <x:c r="D5" s="3"/>
      <x:c r="E5" s="3"/>
      <x:c r="F5" s="3"/>
      <x:c r="G5" s="3"/>
      <x:c r="H5" s="3"/>
    </x:row>
    <x:row r="6" ht="15" customHeight="1"/>
    <x:row r="7" ht="22" customHeight="1">
      <x:c r="A7" s="8" t="s">
        <x:v>6</x:v>
      </x:c>
      <x:c r="B7" s="8" t="s">
        <x:v>7</x:v>
      </x:c>
      <x:c r="D7" s="8" t="s">
        <x:v>8</x:v>
      </x:c>
      <x:c r="E7" s="8" t="s">
        <x:v>9</x:v>
      </x:c>
      <x:c r="G7" s="8" t="s">
        <x:v>10</x:v>
      </x:c>
      <x:c r="H7" s="8" t="s">
        <x:v>9</x:v>
      </x:c>
    </x:row>
    <x:row r="8" ht="22" customHeight="1">
      <x:c r="A8" t="s">
        <x:v>11</x:v>
      </x:c>
      <x:c r="B8" t="n">
        <x:f>COUNTA('POI数据库'!$A$2:$A$63)</x:f>
        <x:v>62</x:v>
      </x:c>
      <x:c r="D8" t="s">
        <x:v>12</x:v>
      </x:c>
      <x:c r="E8" t="n">
        <x:f>COUNTIF('POI数据库'!$B$2:$B$63,D8)</x:f>
        <x:v>4</x:v>
      </x:c>
      <x:c r="G8" t="str">
        <x:v>已补充</x:v>
      </x:c>
      <x:c r="H8" t="n">
        <x:f>IF(G8="","",COUNTIF('POI数据库'!$R$2:$R$63,G8))</x:f>
        <x:v>20</x:v>
      </x:c>
    </x:row>
    <x:row r="9" ht="22" customHeight="1">
      <x:c r="A9" t="s">
        <x:v>13</x:v>
      </x:c>
      <x:c r="B9" t="n">
        <x:f>COUNTIF('POI数据库'!$B$2:$B$63,"旅游")</x:f>
        <x:v>39</x:v>
      </x:c>
      <x:c r="D9" t="s">
        <x:v>14</x:v>
      </x:c>
      <x:c r="E9" t="n">
        <x:f>COUNTIF('POI数据库'!$B$2:$B$63,D9)</x:f>
        <x:v>39</x:v>
      </x:c>
      <x:c r="G9" t="str">
        <x:v>区间价/多规格</x:v>
      </x:c>
      <x:c r="H9" t="n">
        <x:f>IF(G9="","",COUNTIF('POI数据库'!$R$2:$R$63,G9))</x:f>
        <x:v>25</x:v>
      </x:c>
    </x:row>
    <x:row r="10" ht="22" customHeight="1">
      <x:c r="A10" t="s">
        <x:v>15</x:v>
      </x:c>
      <x:c r="B10" t="n">
        <x:f>COUNTIF('POI数据库'!$B$2:$B$63,"体检")+COUNTIF('POI数据库'!$B$2:$B$63,"医疗")</x:f>
        <x:v>4</x:v>
      </x:c>
      <x:c r="D10" t="s">
        <x:v>16</x:v>
      </x:c>
      <x:c r="E10" t="n">
        <x:f>COUNTIF('POI数据库'!$B$2:$B$63,D10)</x:f>
        <x:v>7</x:v>
      </x:c>
      <x:c r="G10" t="str">
        <x:v>部分补充</x:v>
      </x:c>
      <x:c r="H10" t="n">
        <x:f>IF(G10="","",COUNTIF('POI数据库'!$R$2:$R$63,G10))</x:f>
        <x:v>10</x:v>
      </x:c>
    </x:row>
    <x:row r="11" ht="22" customHeight="1">
      <x:c r="A11" t="s">
        <x:v>17</x:v>
      </x:c>
      <x:c r="B11" t="n">
        <x:f>COUNTIF('POI数据库'!$B$2:$B$63,"住宿")+COUNTIF('POI数据库'!$B$2:$B$63,"餐费")+COUNTIF('POI数据库'!$B$2:$B$63,"服务标准")+COUNTIF('POI数据库'!$B$2:$B$63,"伴手礼")</x:f>
        <x:v>19</x:v>
      </x:c>
      <x:c r="D11" t="s">
        <x:v>18</x:v>
      </x:c>
      <x:c r="E11" t="n">
        <x:f>COUNTIF('POI数据库'!$B$2:$B$63,D11)</x:f>
        <x:v>5</x:v>
      </x:c>
      <x:c r="G11" t="str">
        <x:v>免费</x:v>
      </x:c>
      <x:c r="H11" t="n">
        <x:f>IF(G11="","",COUNTIF('POI数据库'!$R$2:$R$63,G11))</x:f>
        <x:v>7</x:v>
      </x:c>
    </x:row>
    <x:row r="12" ht="22" customHeight="1">
      <x:c r="A12" t="s">
        <x:v>19</x:v>
      </x:c>
      <x:c r="B12" t="n">
        <x:f>COUNTA('线路模板'!$A$2:$A$9)</x:f>
        <x:v>8</x:v>
      </x:c>
      <x:c r="D12" t="s">
        <x:v>20</x:v>
      </x:c>
      <x:c r="E12" t="n">
        <x:f>COUNTIF('POI数据库'!$B$2:$B$63,D12)</x:f>
        <x:v>6</x:v>
      </x:c>
      <x:c r="G12" t="str">
        <x:v>待确认</x:v>
      </x:c>
      <x:c r="H12" t="n">
        <x:f>IF(G12="","",COUNTIF('POI数据库'!$R$2:$R$63,G12))</x:f>
        <x:v>0</x:v>
      </x:c>
    </x:row>
    <x:row r="13" ht="22" customHeight="1">
      <x:c r="A13" t="s">
        <x:v>21</x:v>
      </x:c>
      <x:c r="B13" t="n">
        <x:f>COUNTIF('POI数据库'!$R$2:$R$63,"待确认")</x:f>
        <x:v>0</x:v>
      </x:c>
      <x:c r="D13" t="s">
        <x:v>22</x:v>
      </x:c>
      <x:c r="E13" t="n">
        <x:f>COUNTIF('POI数据库'!$B$2:$B$63,D13)</x:f>
        <x:v>1</x:v>
      </x:c>
      <x:c r="G13" t="str"/>
      <x:c r="H13" t="str">
        <x:f>IF(G13="","",COUNTIF('POI数据库'!$R$2:$R$63,G13))</x:f>
      </x:c>
    </x:row>
    <x:row r="14" ht="15" customHeight="1"/>
    <x:row r="15" ht="36" customHeight="1">
      <x:c r="A15" s="6" t="s">
        <x:v>23</x:v>
      </x:c>
      <x:c r="B15" s="6" t="str">
        <x:v>本版已将「未补价清单」中的成本价并入「POI数据库」，售价按成本×1.3自动生成；新增「本次补价记录」。</x:v>
      </x:c>
      <x:c r="C15" s="6"/>
      <x:c r="D15" s="6"/>
      <x:c r="E15" s="6"/>
      <x:c r="F15" s="6"/>
      <x:c r="G15" s="6"/>
      <x:c r="H15" s="6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7.880000114440918" hidden="0" customWidth="1"/>
    <x:col min="2" max="2" width="9.75" hidden="0" customWidth="1"/>
    <x:col min="3" max="3" width="9.75" hidden="0" customWidth="1"/>
    <x:col min="5" max="5" width="28" hidden="0" customWidth="1"/>
    <x:col min="6" max="6" width="10.5" hidden="0" customWidth="1"/>
    <x:col min="7" max="7" width="24" hidden="0" customWidth="1"/>
    <x:col min="8" max="8" width="13" hidden="0" customWidth="1"/>
    <x:col min="9" max="9" width="9.75" hidden="0" customWidth="1"/>
    <x:col min="10" max="10" width="7.880000114440918" hidden="0" customWidth="1"/>
    <x:col min="11" max="11" width="9.75" hidden="0" customWidth="1"/>
    <x:col min="12" max="12" width="10.5" hidden="0" customWidth="1"/>
    <x:col min="13" max="13" width="9.75" hidden="0" customWidth="1"/>
    <x:col min="14" max="14" width="13" hidden="0" customWidth="1"/>
    <x:col min="15" max="15" width="17.1299991607666" hidden="0" customWidth="1"/>
    <x:col min="16" max="16" width="12.25" hidden="0" customWidth="1"/>
    <x:col min="17" max="17" width="13.75" hidden="0" customWidth="1"/>
    <x:col min="19" max="19" width="30" hidden="0" customWidth="1"/>
    <x:col min="20" max="20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4" max="4" width="7.880000114440918" hidden="0" customWidth="1"/>
    <x:col min="18" max="18" width="12.25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>
      <x:c r="A1" s="55" t="str">
        <x:v>POI_ID</x:v>
      </x:c>
      <x:c r="B1" s="55" t="str">
        <x:v>一级模块</x:v>
      </x:c>
      <x:c r="C1" s="55" t="str">
        <x:v>二级类别</x:v>
      </x:c>
      <x:c r="D1" s="55" t="str">
        <x:v>地点</x:v>
      </x:c>
      <x:c r="E1" s="55" t="str">
        <x:v>POI名称</x:v>
      </x:c>
      <x:c r="F1" s="55" t="str">
        <x:v>子项/机构</x:v>
      </x:c>
      <x:c r="G1" s="55" t="str">
        <x:v>所属线路/适用场景</x:v>
      </x:c>
      <x:c r="H1" s="55" t="str">
        <x:v>线路定位</x:v>
      </x:c>
      <x:c r="I1" s="55" t="str">
        <x:v>兴趣类型</x:v>
      </x:c>
      <x:c r="J1" s="55" t="str">
        <x:v>节奏</x:v>
      </x:c>
      <x:c r="K1" s="55" t="str">
        <x:v>推荐时长</x:v>
      </x:c>
      <x:c r="L1" s="55" t="str">
        <x:v>时长_小时</x:v>
      </x:c>
      <x:c r="M1" s="55" t="str">
        <x:v>时长筛选</x:v>
      </x:c>
      <x:c r="N1" s="55" t="str">
        <x:v>适用行程天数</x:v>
      </x:c>
      <x:c r="O1" s="55" t="str">
        <x:v>医疗级别/体检等级</x:v>
      </x:c>
      <x:c r="P1" s="55" t="str">
        <x:v>检查范围</x:v>
      </x:c>
      <x:c r="Q1" s="55" t="str">
        <x:v>是否必选/可选</x:v>
      </x:c>
      <x:c r="R1" s="55" t="str">
        <x:v>价格状态</x:v>
      </x:c>
      <x:c r="S1" s="55" t="str">
        <x:v>价格显示</x:v>
      </x:c>
      <x:c r="T1" s="55" t="str">
        <x:v>成本价_元</x:v>
      </x:c>
      <x:c r="U1" s="55" t="str">
        <x:v>售价_元</x:v>
      </x:c>
      <x:c r="V1" s="55" t="str">
        <x:v>成本下限_元</x:v>
      </x:c>
      <x:c r="W1" s="55" t="str">
        <x:v>成本上限_元</x:v>
      </x:c>
      <x:c r="X1" s="55" t="str">
        <x:v>计价单位</x:v>
      </x:c>
      <x:c r="Y1" s="55" t="str">
        <x:v>价格说明</x:v>
      </x:c>
      <x:c r="Z1" s="55" t="str">
        <x:v>来源</x:v>
      </x:c>
      <x:c r="AA1" s="55" t="str">
        <x:v>备注</x:v>
      </x:c>
      <x:c r="AB1" s="55" t="str">
        <x:v>组合建议标签</x:v>
      </x:c>
      <x:c r="AC1" s="56" t="str">
        <x:v>售价下限_元</x:v>
      </x:c>
      <x:c r="AD1" s="56" t="str">
        <x:v>售价上限_元</x:v>
      </x:c>
      <x:c r="AE1" s="56" t="str">
        <x:v>利润倍率</x:v>
      </x:c>
      <x:c r="AF1" s="42"/>
    </x:row>
    <x:row r="2" ht="34">
      <x:c r="A2" s="3" t="str">
        <x:v>POI001</x:v>
      </x:c>
      <x:c r="B2" s="3" t="str">
        <x:v>体检</x:v>
      </x:c>
      <x:c r="C2" s="3" t="str">
        <x:v>机构</x:v>
      </x:c>
      <x:c r="D2" s="3" t="str">
        <x:v>杭州</x:v>
      </x:c>
      <x:c r="E2" s="3" t="str">
        <x:v>甄选套餐</x:v>
      </x:c>
      <x:c r="F2" s="3" t="str">
        <x:v>胶囊胃镜</x:v>
      </x:c>
      <x:c r="G2" s="3" t="str">
        <x:v>医疗体检核心</x:v>
      </x:c>
      <x:c r="H2" s="3" t="str">
        <x:v>通用</x:v>
      </x:c>
      <x:c r="I2" s="3" t="str">
        <x:v>体检</x:v>
      </x:c>
      <x:c r="J2" s="3" t="str">
        <x:v>医疗节奏</x:v>
      </x:c>
      <x:c r="K2" s="3" t="str">
        <x:v>半日</x:v>
      </x:c>
      <x:c r="L2" s="11" t="n">
        <x:v>4</x:v>
      </x:c>
      <x:c r="M2" s="3" t="str">
        <x:v>半日</x:v>
      </x:c>
      <x:c r="N2" s="12" t="n">
        <x:v>0.5</x:v>
      </x:c>
      <x:c r="O2" s="3" t="str">
        <x:v>甄选</x:v>
      </x:c>
      <x:c r="P2" s="3" t="str">
        <x:v>全面检查</x:v>
      </x:c>
      <x:c r="Q2" s="3" t="str">
        <x:v>25</x:v>
      </x:c>
      <x:c r="R2" s="3" t="str">
        <x:v>区间价/多规格</x:v>
      </x:c>
      <x:c r="S2" s="3" t="str">
        <x:v>男8299；女未婚8499；女已婚8999</x:v>
      </x:c>
      <x:c r="T2" s="38" t="n">
        <x:v>8299</x:v>
      </x:c>
      <x:c r="U2" s="38" t="n">
        <x:f>IF(ISBLANK(T2),"",ROUNDUP(T2*1.3,0))</x:f>
        <x:v>10789</x:v>
      </x:c>
      <x:c r="V2" s="38" t="n">
        <x:v>8299</x:v>
      </x:c>
      <x:c r="W2" s="38" t="n">
        <x:v>8999</x:v>
      </x:c>
      <x:c r="X2" s="3" t="str">
        <x:v>元/人</x:v>
      </x:c>
      <x:c r="Y2" s="3" t="str">
        <x:v>PDF为“甄选套餐”团体优惠定价；含胶囊胃镜、脑区评估等高阶项目</x:v>
      </x:c>
      <x:c r="Z2" s="3" t="str">
        <x:v>体检方案书 p24</x:v>
      </x:c>
      <x:c r="AA2" s="3" t="str">
        <x:v>PDF为“甄选套餐”团体优惠定价；含胶囊胃镜、脑区评估等高阶项目</x:v>
      </x:c>
      <x:c r="AB2" s="3" t="str">
        <x:v>高客单价体检/全面检查/可作为医旅核心</x:v>
      </x:c>
      <x:c r="AC2" s="40" t="n">
        <x:f>IF(ISBLANK(V2),"",ROUNDUP(V2*1.3,0))</x:f>
        <x:v>10789</x:v>
      </x:c>
      <x:c r="AD2" s="40" t="n">
        <x:f>IF(ISBLANK(W2),"",ROUNDUP(W2*1.3,0))</x:f>
        <x:v>11699</x:v>
      </x:c>
      <x:c r="AE2" s="40" t="n">
        <x:v>1.3</x:v>
      </x:c>
    </x:row>
    <x:row r="3" ht="34">
      <x:c r="A3" s="3" t="str">
        <x:v>POI002</x:v>
      </x:c>
      <x:c r="B3" s="3" t="str">
        <x:v>体检</x:v>
      </x:c>
      <x:c r="C3" s="3" t="str">
        <x:v>机构</x:v>
      </x:c>
      <x:c r="D3" s="3" t="str">
        <x:v>杭州</x:v>
      </x:c>
      <x:c r="E3" s="3" t="str">
        <x:v>菁选套餐</x:v>
      </x:c>
      <x:c r="F3" s="3" t="str">
        <x:v>25</x:v>
      </x:c>
      <x:c r="G3" s="3" t="str">
        <x:v>医疗体检核心</x:v>
      </x:c>
      <x:c r="H3" s="3" t="str">
        <x:v>通用</x:v>
      </x:c>
      <x:c r="I3" s="3" t="str">
        <x:v>体检</x:v>
      </x:c>
      <x:c r="J3" s="3" t="str">
        <x:v>医疗节奏</x:v>
      </x:c>
      <x:c r="K3" s="3" t="str">
        <x:v>1日</x:v>
      </x:c>
      <x:c r="L3" s="11" t="n">
        <x:v>8</x:v>
      </x:c>
      <x:c r="M3" s="3" t="str">
        <x:v>1日</x:v>
      </x:c>
      <x:c r="N3" s="12" t="n">
        <x:v>1</x:v>
      </x:c>
      <x:c r="O3" s="3" t="str">
        <x:v>菁英/菁选</x:v>
      </x:c>
      <x:c r="P3" s="3" t="str">
        <x:v>全面检查</x:v>
      </x:c>
      <x:c r="Q3" s="3" t="str">
        <x:v>25</x:v>
      </x:c>
      <x:c r="R3" s="3" t="str">
        <x:v>区间价/多规格</x:v>
      </x:c>
      <x:c r="S3" s="3" t="str">
        <x:v>男2799；女未婚2799；女已婚3050</x:v>
      </x:c>
      <x:c r="T3" s="38" t="n">
        <x:v>2799</x:v>
      </x:c>
      <x:c r="U3" s="38" t="n">
        <x:f>IF(ISBLANK(T3),"",ROUNDUP(T3*1.3,0))</x:f>
        <x:v>3639</x:v>
      </x:c>
      <x:c r="V3" s="38" t="n">
        <x:v>2799</x:v>
      </x:c>
      <x:c r="W3" s="38" t="n">
        <x:v>3050</x:v>
      </x:c>
      <x:c r="X3" s="3" t="str">
        <x:v>元/人</x:v>
      </x:c>
      <x:c r="Y3" s="3" t="str">
        <x:v>PDF套餐名为“菁英套餐”，源点位表写“菁选套餐”，建议统一命名</x:v>
      </x:c>
      <x:c r="Z3" s="3" t="str">
        <x:v>体检方案书 p11</x:v>
      </x:c>
      <x:c r="AA3" s="3" t="str">
        <x:v>PDF套餐名为“菁英套餐”，源点位表写“菁选套餐”，建议统一命名</x:v>
      </x:c>
      <x:c r="AB3" s="3" t="str">
        <x:v>入门全面体检/半日-1日轻医旅</x:v>
      </x:c>
      <x:c r="AC3" s="40" t="n">
        <x:f>IF(ISBLANK(V3),"",ROUNDUP(V3*1.3,0))</x:f>
        <x:v>3639</x:v>
      </x:c>
      <x:c r="AD3" s="40" t="n">
        <x:f>IF(ISBLANK(W3),"",ROUNDUP(W3*1.3,0))</x:f>
        <x:v>3965</x:v>
      </x:c>
      <x:c r="AE3" s="40" t="n">
        <x:v>1.3</x:v>
      </x:c>
    </x:row>
    <x:row r="4" ht="34">
      <x:c r="A4" s="3" t="str">
        <x:v>POI003</x:v>
      </x:c>
      <x:c r="B4" s="3" t="str">
        <x:v>体检</x:v>
      </x:c>
      <x:c r="C4" s="3" t="str">
        <x:v>机构</x:v>
      </x:c>
      <x:c r="D4" s="3" t="str">
        <x:v>杭州</x:v>
      </x:c>
      <x:c r="E4" s="3" t="str">
        <x:v>尊选套餐</x:v>
      </x:c>
      <x:c r="F4" s="3" t="str">
        <x:v>25</x:v>
      </x:c>
      <x:c r="G4" s="3" t="str">
        <x:v>医疗体检核心</x:v>
      </x:c>
      <x:c r="H4" s="3" t="str">
        <x:v>通用</x:v>
      </x:c>
      <x:c r="I4" s="3" t="str">
        <x:v>体检</x:v>
      </x:c>
      <x:c r="J4" s="3" t="str">
        <x:v>医疗节奏</x:v>
      </x:c>
      <x:c r="K4" s="3" t="str">
        <x:v>1日</x:v>
      </x:c>
      <x:c r="L4" s="11" t="n">
        <x:v>8</x:v>
      </x:c>
      <x:c r="M4" s="3" t="str">
        <x:v>1日</x:v>
      </x:c>
      <x:c r="N4" s="12" t="n">
        <x:v>1</x:v>
      </x:c>
      <x:c r="O4" s="3" t="str">
        <x:v>尊享/尊选</x:v>
      </x:c>
      <x:c r="P4" s="3" t="str">
        <x:v>全面检查</x:v>
      </x:c>
      <x:c r="Q4" s="3" t="str">
        <x:v>25</x:v>
      </x:c>
      <x:c r="R4" s="3" t="str">
        <x:v>区间价/多规格</x:v>
      </x:c>
      <x:c r="S4" s="3" t="str">
        <x:v>男6199；女未婚6299；女已婚6699</x:v>
      </x:c>
      <x:c r="T4" s="38" t="n">
        <x:v>6199</x:v>
      </x:c>
      <x:c r="U4" s="38" t="n">
        <x:f>IF(ISBLANK(T4),"",ROUNDUP(T4*1.3,0))</x:f>
        <x:v>8059</x:v>
      </x:c>
      <x:c r="V4" s="38" t="n">
        <x:v>6199</x:v>
      </x:c>
      <x:c r="W4" s="38" t="n">
        <x:v>6699</x:v>
      </x:c>
      <x:c r="X4" s="3" t="str">
        <x:v>元/人</x:v>
      </x:c>
      <x:c r="Y4" s="3" t="str">
        <x:v>PDF套餐名为“尊享套餐”，源点位表写“尊选套餐”，建议统一命名</x:v>
      </x:c>
      <x:c r="Z4" s="3" t="str">
        <x:v>体检方案书 p17</x:v>
      </x:c>
      <x:c r="AA4" s="3" t="str">
        <x:v>PDF套餐名为“尊享套餐”，源点位表写“尊选套餐”，建议统一命名</x:v>
      </x:c>
      <x:c r="AB4" s="3" t="str">
        <x:v>中高端全面体检/可搭配1-2日康养</x:v>
      </x:c>
      <x:c r="AC4" s="40" t="n">
        <x:f>IF(ISBLANK(V4),"",ROUNDUP(V4*1.3,0))</x:f>
        <x:v>8059</x:v>
      </x:c>
      <x:c r="AD4" s="40" t="n">
        <x:f>IF(ISBLANK(W4),"",ROUNDUP(W4*1.3,0))</x:f>
        <x:v>8709</x:v>
      </x:c>
      <x:c r="AE4" s="40" t="n">
        <x:v>1.3</x:v>
      </x:c>
    </x:row>
    <x:row r="5" ht="17">
      <x:c r="A5" s="3" t="str">
        <x:v>POI004</x:v>
      </x:c>
      <x:c r="B5" s="3" t="str">
        <x:v>体检</x:v>
      </x:c>
      <x:c r="C5" s="3" t="str">
        <x:v>医疗</x:v>
      </x:c>
      <x:c r="D5" s="3" t="str">
        <x:v>杭州</x:v>
      </x:c>
      <x:c r="E5" s="3" t="str">
        <x:v>邵逸夫B2</x:v>
      </x:c>
      <x:c r="F5" s="3" t="str">
        <x:v>25</x:v>
      </x:c>
      <x:c r="G5" s="3" t="str">
        <x:v>专项医疗</x:v>
      </x:c>
      <x:c r="H5" s="3" t="str">
        <x:v>通用</x:v>
      </x:c>
      <x:c r="I5" s="3" t="str">
        <x:v>体检</x:v>
      </x:c>
      <x:c r="J5" s="3" t="str">
        <x:v>医疗节奏</x:v>
      </x:c>
      <x:c r="K5" s="3" t="str">
        <x:v>2日</x:v>
      </x:c>
      <x:c r="L5" s="11" t="n">
        <x:v>16</x:v>
      </x:c>
      <x:c r="M5" s="3" t="str">
        <x:v>2日</x:v>
      </x:c>
      <x:c r="N5" s="12" t="n">
        <x:v>2</x:v>
      </x:c>
      <x:c r="O5" s="3" t="str">
        <x:v>医疗级别待确认</x:v>
      </x:c>
      <x:c r="P5" s="3" t="str">
        <x:v>单项/专项医疗</x:v>
      </x:c>
      <x:c r="Q5" s="3" t="str">
        <x:v>25</x:v>
      </x:c>
      <x:c r="R5" s="3" t="str">
        <x:v>部分补充</x:v>
      </x:c>
      <x:c r="S5" s="3" t="str">
        <x:v>成本12450/元/人/疗程；售价16185/元/人/疗程</x:v>
      </x:c>
      <x:c r="T5" s="38" t="n">
        <x:v>12450</x:v>
      </x:c>
      <x:c r="U5" s="38" t="n">
        <x:f>IF(ISBLANK(T5),"",ROUNDUP(T5*1.3,0))</x:f>
        <x:v>16185</x:v>
      </x:c>
      <x:c r="V5" s="38"/>
      <x:c r="W5" s="38"/>
      <x:c r="X5" s="3" t="str">
        <x:v>元/人/疗程</x:v>
      </x:c>
      <x:c r="Y5" s="3" t="str">
        <x:v>仅有点位与2日时长；需补医院专科项目报价</x:v>
      </x:c>
      <x:c r="Z5" s="3" t="str">
        <x:v>源点位表</x:v>
      </x:c>
      <x:c r="AA5" s="3" t="str">
        <x:v>仅有点位与2日时长；需补医院专科项目报价</x:v>
      </x:c>
      <x:c r="AB5" s="3" t="str">
        <x:v>专项医疗/需确认专科与报价</x:v>
      </x:c>
      <x:c r="AC5" s="40" t="str">
        <x:f>IF(ISBLANK(V5),"",ROUNDUP(V5*1.3,0))</x:f>
      </x:c>
      <x:c r="AD5" s="40" t="str">
        <x:f>IF(ISBLANK(W5),"",ROUNDUP(W5*1.3,0))</x:f>
      </x:c>
      <x:c r="AE5" s="40" t="n">
        <x:v>1.3</x:v>
      </x:c>
    </x:row>
    <x:row r="6" ht="34">
      <x:c r="A6" s="3" t="str">
        <x:v>POI005</x:v>
      </x:c>
      <x:c r="B6" s="3" t="str">
        <x:v>旅游</x:v>
      </x:c>
      <x:c r="C6" s="3" t="str">
        <x:v>自然</x:v>
      </x:c>
      <x:c r="D6" s="3" t="str">
        <x:v>杭州</x:v>
      </x:c>
      <x:c r="E6" s="3" t="str">
        <x:v>西湖环湖慢享（电瓶车+游船）</x:v>
      </x:c>
      <x:c r="F6" s="3" t="str">
        <x:v>25</x:v>
      </x:c>
      <x:c r="G6" s="3" t="str">
        <x:v>西湖秘境/宋韵/体检后轻游</x:v>
      </x:c>
      <x:c r="H6" s="3" t="str">
        <x:v>通用</x:v>
      </x:c>
      <x:c r="I6" s="3" t="str">
        <x:v>自然</x:v>
      </x:c>
      <x:c r="J6" s="3" t="str">
        <x:v>休闲</x:v>
      </x:c>
      <x:c r="K6" s="3" t="str">
        <x:v>1小时</x:v>
      </x:c>
      <x:c r="L6" s="11" t="n">
        <x:v>1</x:v>
      </x:c>
      <x:c r="M6" s="3" t="str">
        <x:v>0-1小时</x:v>
      </x:c>
      <x:c r="N6" s="12" t="n">
        <x:v>0.12</x:v>
      </x:c>
      <x:c r="O6" s="3" t="str">
        <x:v>25</x:v>
      </x:c>
      <x:c r="P6" s="3" t="str">
        <x:v>25</x:v>
      </x:c>
      <x:c r="Q6" s="3" t="str">
        <x:v>25</x:v>
      </x:c>
      <x:c r="R6" s="3" t="str">
        <x:v>区间价/多规格</x:v>
      </x:c>
      <x:c r="S6" s="3" t="str">
        <x:v>电瓶车40/80；摇橹船598(2-4人)/798(5-6人)</x:v>
      </x:c>
      <x:c r="T6" s="38" t="n">
        <x:v>598</x:v>
      </x:c>
      <x:c r="U6" s="38" t="n">
        <x:f>IF(ISBLANK(T6),"",ROUNDUP(T6*1.3,0))</x:f>
        <x:v>778</x:v>
      </x:c>
      <x:c r="V6" s="38" t="n">
        <x:v>40</x:v>
      </x:c>
      <x:c r="W6" s="38" t="n">
        <x:v>798</x:v>
      </x:c>
      <x:c r="X6" s="3" t="str">
        <x:v>元/人或元/船</x:v>
      </x:c>
      <x:c r="Y6" s="3" t="str">
        <x:v>西湖电瓶车整圈普通40/仿古80；摇橹船按船计价</x:v>
      </x:c>
      <x:c r="Z6" s="3" t="str">
        <x:v>康养文旅 p8,p12</x:v>
      </x:c>
      <x:c r="AA6" s="3" t="str">
        <x:v>西湖电瓶车整圈普通40/仿古80；摇橹船按船计价</x:v>
      </x:c>
      <x:c r="AB6" s="3" t="str">
        <x:v>西湖秘境/自然疗愈/低强度</x:v>
      </x:c>
      <x:c r="AC6" s="40" t="n">
        <x:f>IF(ISBLANK(V6),"",ROUNDUP(V6*1.3,0))</x:f>
        <x:v>52</x:v>
      </x:c>
      <x:c r="AD6" s="40" t="n">
        <x:f>IF(ISBLANK(W6),"",ROUNDUP(W6*1.3,0))</x:f>
        <x:v>1038</x:v>
      </x:c>
      <x:c r="AE6" s="40" t="n">
        <x:v>1.3</x:v>
      </x:c>
    </x:row>
    <x:row r="7" ht="17">
      <x:c r="A7" s="3" t="str">
        <x:v>POI006</x:v>
      </x:c>
      <x:c r="B7" s="3" t="str">
        <x:v>旅游</x:v>
      </x:c>
      <x:c r="C7" s="3" t="str">
        <x:v>自然</x:v>
      </x:c>
      <x:c r="D7" s="3" t="str">
        <x:v>杭州</x:v>
      </x:c>
      <x:c r="E7" s="3" t="str">
        <x:v>苏堤漫步</x:v>
      </x:c>
      <x:c r="F7" s="3" t="str">
        <x:v>25</x:v>
      </x:c>
      <x:c r="G7" s="3" t="str">
        <x:v>西湖秘境/东方本草</x:v>
      </x:c>
      <x:c r="H7" s="3" t="str">
        <x:v>通用</x:v>
      </x:c>
      <x:c r="I7" s="3" t="str">
        <x:v>自然</x:v>
      </x:c>
      <x:c r="J7" s="3" t="str">
        <x:v>休闲</x:v>
      </x:c>
      <x:c r="K7" s="3" t="str">
        <x:v>1小时</x:v>
      </x:c>
      <x:c r="L7" s="11" t="n">
        <x:v>1</x:v>
      </x:c>
      <x:c r="M7" s="3" t="str">
        <x:v>0-1小时</x:v>
      </x:c>
      <x:c r="N7" s="12" t="n">
        <x:v>0.12</x:v>
      </x:c>
      <x:c r="O7" s="3" t="str">
        <x:v>25</x:v>
      </x:c>
      <x:c r="P7" s="3" t="str">
        <x:v>25</x:v>
      </x:c>
      <x:c r="Q7" s="3" t="str">
        <x:v>25</x:v>
      </x:c>
      <x:c r="R7" s="3" t="str">
        <x:v>免费</x:v>
      </x:c>
      <x:c r="S7" s="3" t="str">
        <x:v>0；可搭配雷峰塔45/人、电瓶车40-80/人</x:v>
      </x:c>
      <x:c r="T7" s="38" t="n">
        <x:v>0</x:v>
      </x:c>
      <x:c r="U7" s="38" t="n">
        <x:f>IF(ISBLANK(T7),"",ROUNDUP(T7*1.3,0))</x:f>
        <x:v>0</x:v>
      </x:c>
      <x:c r="V7" s="38" t="n">
        <x:v>0</x:v>
      </x:c>
      <x:c r="W7" s="38" t="n">
        <x:v>80</x:v>
      </x:c>
      <x:c r="X7" s="3" t="str">
        <x:v>元/人</x:v>
      </x:c>
      <x:c r="Y7" s="3" t="str">
        <x:v>漫步本身免费，相关门票/交通另计</x:v>
      </x:c>
      <x:c r="Z7" s="3" t="str">
        <x:v>康养文旅 p3,p8</x:v>
      </x:c>
      <x:c r="AA7" s="3" t="str">
        <x:v>漫步本身免费，相关门票/交通另计</x:v>
      </x:c>
      <x:c r="AB7" s="3" t="str">
        <x:v>自然疗愈/适合体检后轻松安排</x:v>
      </x:c>
      <x:c r="AC7" s="40" t="n">
        <x:f>IF(ISBLANK(V7),"",ROUNDUP(V7*1.3,0))</x:f>
        <x:v>0</x:v>
      </x:c>
      <x:c r="AD7" s="40" t="n">
        <x:f>IF(ISBLANK(W7),"",ROUNDUP(W7*1.3,0))</x:f>
        <x:v>104</x:v>
      </x:c>
      <x:c r="AE7" s="40" t="n">
        <x:v>1.3</x:v>
      </x:c>
    </x:row>
    <x:row r="8" ht="17">
      <x:c r="A8" s="3" t="str">
        <x:v>POI007</x:v>
      </x:c>
      <x:c r="B8" s="3" t="str">
        <x:v>旅游</x:v>
      </x:c>
      <x:c r="C8" s="3" t="str">
        <x:v>自然</x:v>
      </x:c>
      <x:c r="D8" s="3" t="str">
        <x:v>杭州</x:v>
      </x:c>
      <x:c r="E8" s="3" t="str">
        <x:v>龙坞茶村漫步</x:v>
      </x:c>
      <x:c r="F8" s="3" t="str">
        <x:v>25</x:v>
      </x:c>
      <x:c r="G8" s="3" t="str">
        <x:v>龙井茶韵/筋骨调养</x:v>
      </x:c>
      <x:c r="H8" s="3" t="str">
        <x:v>通用</x:v>
      </x:c>
      <x:c r="I8" s="3" t="str">
        <x:v>自然</x:v>
      </x:c>
      <x:c r="J8" s="3" t="str">
        <x:v>休闲</x:v>
      </x:c>
      <x:c r="K8" s="3" t="str">
        <x:v>1小时</x:v>
      </x:c>
      <x:c r="L8" s="11" t="n">
        <x:v>1</x:v>
      </x:c>
      <x:c r="M8" s="3" t="str">
        <x:v>0-1小时</x:v>
      </x:c>
      <x:c r="N8" s="12" t="n">
        <x:v>0.12</x:v>
      </x:c>
      <x:c r="O8" s="3" t="str">
        <x:v>25</x:v>
      </x:c>
      <x:c r="P8" s="3" t="str">
        <x:v>25</x:v>
      </x:c>
      <x:c r="Q8" s="3" t="str">
        <x:v>25</x:v>
      </x:c>
      <x:c r="R8" s="3" t="str">
        <x:v>免费</x:v>
      </x:c>
      <x:c r="S8" s="3" t="str">
        <x:v>0；可搭配采茶/炒茶/品茶288/人、品茗150/人</x:v>
      </x:c>
      <x:c r="T8" s="38" t="n">
        <x:v>0</x:v>
      </x:c>
      <x:c r="U8" s="38" t="n">
        <x:f>IF(ISBLANK(T8),"",ROUNDUP(T8*1.3,0))</x:f>
        <x:v>0</x:v>
      </x:c>
      <x:c r="V8" s="38" t="n">
        <x:v>0</x:v>
      </x:c>
      <x:c r="W8" s="38" t="n">
        <x:v>288</x:v>
      </x:c>
      <x:c r="X8" s="3" t="str">
        <x:v>元/人</x:v>
      </x:c>
      <x:c r="Y8" s="3" t="str">
        <x:v>漫步本身免费；深度茶体验可加购</x:v>
      </x:c>
      <x:c r="Z8" s="3" t="str">
        <x:v>康养文旅 p16-p18</x:v>
      </x:c>
      <x:c r="AA8" s="3" t="str">
        <x:v>漫步本身免费；深度茶体验可加购</x:v>
      </x:c>
      <x:c r="AB8" s="3" t="str">
        <x:v>茶文化/自然/低强度</x:v>
      </x:c>
      <x:c r="AC8" s="40" t="n">
        <x:f>IF(ISBLANK(V8),"",ROUNDUP(V8*1.3,0))</x:f>
        <x:v>0</x:v>
      </x:c>
      <x:c r="AD8" s="40" t="n">
        <x:f>IF(ISBLANK(W8),"",ROUNDUP(W8*1.3,0))</x:f>
        <x:v>375</x:v>
      </x:c>
      <x:c r="AE8" s="40" t="n">
        <x:v>1.3</x:v>
      </x:c>
    </x:row>
    <x:row r="9" ht="17">
      <x:c r="A9" s="3" t="str">
        <x:v>POI008</x:v>
      </x:c>
      <x:c r="B9" s="3" t="str">
        <x:v>旅游</x:v>
      </x:c>
      <x:c r="C9" s="3" t="str">
        <x:v>自然</x:v>
      </x:c>
      <x:c r="D9" s="3" t="str">
        <x:v>杭州</x:v>
      </x:c>
      <x:c r="E9" s="3" t="str">
        <x:v>良渚古城遗址公园</x:v>
      </x:c>
      <x:c r="F9" s="3" t="str">
        <x:v>25</x:v>
      </x:c>
      <x:c r="G9" s="3" t="str">
        <x:v>良渚文化线</x:v>
      </x:c>
      <x:c r="H9" s="3" t="str">
        <x:v>通用</x:v>
      </x:c>
      <x:c r="I9" s="3" t="str">
        <x:v>自然</x:v>
      </x:c>
      <x:c r="J9" s="3" t="str">
        <x:v>休闲</x:v>
      </x:c>
      <x:c r="K9" s="3" t="str">
        <x:v>1.5小时</x:v>
      </x:c>
      <x:c r="L9" s="11" t="n">
        <x:v>1.5</x:v>
      </x:c>
      <x:c r="M9" s="3" t="str">
        <x:v>1-2小时</x:v>
      </x:c>
      <x:c r="N9" s="12" t="n">
        <x:v>0.19</x:v>
      </x:c>
      <x:c r="O9" s="3" t="str">
        <x:v>25</x:v>
      </x:c>
      <x:c r="P9" s="3" t="str">
        <x:v>25</x:v>
      </x:c>
      <x:c r="Q9" s="3" t="str">
        <x:v>25</x:v>
      </x:c>
      <x:c r="R9" s="3" t="str">
        <x:v>已补充</x:v>
      </x:c>
      <x:c r="S9" s="3" t="str">
        <x:v>成本60/元/人；售价78/元/人</x:v>
      </x:c>
      <x:c r="T9" s="38" t="n">
        <x:v>60</x:v>
      </x:c>
      <x:c r="U9" s="38" t="n">
        <x:f>IF(ISBLANK(T9),"",ROUNDUP(T9*1.3,0))</x:f>
        <x:v>78</x:v>
      </x:c>
      <x:c r="V9" s="38"/>
      <x:c r="W9" s="38"/>
      <x:c r="X9" s="3" t="str">
        <x:v>元/人</x:v>
      </x:c>
      <x:c r="Y9" s="3" t="str">
        <x:v>未在价格PDF中出现</x:v>
      </x:c>
      <x:c r="Z9" s="3" t="str">
        <x:v>源点位表</x:v>
      </x:c>
      <x:c r="AA9" s="3" t="str">
        <x:v>未在价格PDF中出现</x:v>
      </x:c>
      <x:c r="AB9" s="3" t="str">
        <x:v>文化遗产/半日游</x:v>
      </x:c>
      <x:c r="AC9" s="40" t="str">
        <x:f>IF(ISBLANK(V9),"",ROUNDUP(V9*1.3,0))</x:f>
      </x:c>
      <x:c r="AD9" s="40" t="str">
        <x:f>IF(ISBLANK(W9),"",ROUNDUP(W9*1.3,0))</x:f>
      </x:c>
      <x:c r="AE9" s="40" t="n">
        <x:v>1.3</x:v>
      </x:c>
    </x:row>
    <x:row r="10" ht="17">
      <x:c r="A10" s="3" t="str">
        <x:v>POI009</x:v>
      </x:c>
      <x:c r="B10" s="3" t="str">
        <x:v>旅游</x:v>
      </x:c>
      <x:c r="C10" s="3" t="str">
        <x:v>人文</x:v>
      </x:c>
      <x:c r="D10" s="3" t="str">
        <x:v>杭州</x:v>
      </x:c>
      <x:c r="E10" s="3" t="str">
        <x:v>人文历史漫步（胡雪岩、河坊街）</x:v>
      </x:c>
      <x:c r="F10" s="3" t="str">
        <x:v>25</x:v>
      </x:c>
      <x:c r="G10" s="3" t="str">
        <x:v>东方本草</x:v>
      </x:c>
      <x:c r="H10" s="3" t="str">
        <x:v>通用</x:v>
      </x:c>
      <x:c r="I10" s="3" t="str">
        <x:v>人文</x:v>
      </x:c>
      <x:c r="J10" s="3" t="str">
        <x:v>休闲</x:v>
      </x:c>
      <x:c r="K10" s="3" t="str">
        <x:v>1.5小时</x:v>
      </x:c>
      <x:c r="L10" s="11" t="n">
        <x:v>1.5</x:v>
      </x:c>
      <x:c r="M10" s="3" t="str">
        <x:v>1-2小时</x:v>
      </x:c>
      <x:c r="N10" s="12" t="n">
        <x:v>0.19</x:v>
      </x:c>
      <x:c r="O10" s="3" t="str">
        <x:v>25</x:v>
      </x:c>
      <x:c r="P10" s="3" t="str">
        <x:v>25</x:v>
      </x:c>
      <x:c r="Q10" s="3" t="str">
        <x:v>25</x:v>
      </x:c>
      <x:c r="R10" s="3" t="str">
        <x:v>区间价/多规格</x:v>
      </x:c>
      <x:c r="S10" s="3" t="str">
        <x:v>胡雪岩故居20/人；朱炳仁拓铜画50/人</x:v>
      </x:c>
      <x:c r="T10" s="38" t="n">
        <x:v>20</x:v>
      </x:c>
      <x:c r="U10" s="38" t="n">
        <x:f>IF(ISBLANK(T10),"",ROUNDUP(T10*1.3,0))</x:f>
        <x:v>26</x:v>
      </x:c>
      <x:c r="V10" s="38" t="n">
        <x:v>20</x:v>
      </x:c>
      <x:c r="W10" s="38" t="n">
        <x:v>70</x:v>
      </x:c>
      <x:c r="X10" s="3" t="str">
        <x:v>元/人</x:v>
      </x:c>
      <x:c r="Y10" s="3" t="str">
        <x:v>河坊街/大井巷/鼓楼漫步本身免费</x:v>
      </x:c>
      <x:c r="Z10" s="3" t="str">
        <x:v>康养文旅 p2</x:v>
      </x:c>
      <x:c r="AA10" s="3" t="str">
        <x:v>河坊街/大井巷/鼓楼漫步本身免费</x:v>
      </x:c>
      <x:c r="AB10" s="3" t="str">
        <x:v>中医养生/城市人文/半日游</x:v>
      </x:c>
      <x:c r="AC10" s="40" t="n">
        <x:f>IF(ISBLANK(V10),"",ROUNDUP(V10*1.3,0))</x:f>
        <x:v>26</x:v>
      </x:c>
      <x:c r="AD10" s="40" t="n">
        <x:f>IF(ISBLANK(W10),"",ROUNDUP(W10*1.3,0))</x:f>
        <x:v>91</x:v>
      </x:c>
      <x:c r="AE10" s="40" t="n">
        <x:v>1.3</x:v>
      </x:c>
    </x:row>
    <x:row r="11" ht="17">
      <x:c r="A11" s="3" t="str">
        <x:v>POI010</x:v>
      </x:c>
      <x:c r="B11" s="3" t="str">
        <x:v>旅游</x:v>
      </x:c>
      <x:c r="C11" s="3" t="str">
        <x:v>人文</x:v>
      </x:c>
      <x:c r="D11" s="3" t="str">
        <x:v>杭州</x:v>
      </x:c>
      <x:c r="E11" s="3" t="str">
        <x:v>禅寺深度巡礼</x:v>
      </x:c>
      <x:c r="F11" s="3" t="str">
        <x:v>25</x:v>
      </x:c>
      <x:c r="G11" s="3" t="str">
        <x:v>禅茶一味/心灵疗愈</x:v>
      </x:c>
      <x:c r="H11" s="3" t="str">
        <x:v>通用</x:v>
      </x:c>
      <x:c r="I11" s="3" t="str">
        <x:v>人文</x:v>
      </x:c>
      <x:c r="J11" s="3" t="str">
        <x:v>适中</x:v>
      </x:c>
      <x:c r="K11" s="3" t="str">
        <x:v>2小时</x:v>
      </x:c>
      <x:c r="L11" s="11" t="n">
        <x:v>2</x:v>
      </x:c>
      <x:c r="M11" s="3" t="str">
        <x:v>1-2小时</x:v>
      </x:c>
      <x:c r="N11" s="12" t="n">
        <x:v>0.25</x:v>
      </x:c>
      <x:c r="O11" s="3" t="str">
        <x:v>25</x:v>
      </x:c>
      <x:c r="P11" s="3" t="str">
        <x:v>25</x:v>
      </x:c>
      <x:c r="Q11" s="3" t="str">
        <x:v>25</x:v>
      </x:c>
      <x:c r="R11" s="3" t="str">
        <x:v>区间价/多规格</x:v>
      </x:c>
      <x:c r="S11" s="3" t="str">
        <x:v>径山寺门票30/人；禅修指导1000/团</x:v>
      </x:c>
      <x:c r="T11" s="38" t="n">
        <x:v>30</x:v>
      </x:c>
      <x:c r="U11" s="38" t="n">
        <x:f>IF(ISBLANK(T11),"",ROUNDUP(T11*1.3,0))</x:f>
        <x:v>39</x:v>
      </x:c>
      <x:c r="V11" s="38" t="n">
        <x:v>30</x:v>
      </x:c>
      <x:c r="W11" s="38" t="n">
        <x:v>1000</x:v>
      </x:c>
      <x:c r="X11" s="3" t="str">
        <x:v>元/人或元/团</x:v>
      </x:c>
      <x:c r="Y11" s="3" t="str">
        <x:v>根据是否加入禅修静坐指导计价</x:v>
      </x:c>
      <x:c r="Z11" s="3" t="str">
        <x:v>康养文旅 p6</x:v>
      </x:c>
      <x:c r="AA11" s="3" t="str">
        <x:v>根据是否加入禅修静坐指导计价</x:v>
      </x:c>
      <x:c r="AB11" s="3" t="str">
        <x:v>禅茶/正念/安静疗愈</x:v>
      </x:c>
      <x:c r="AC11" s="40" t="n">
        <x:f>IF(ISBLANK(V11),"",ROUNDUP(V11*1.3,0))</x:f>
        <x:v>39</x:v>
      </x:c>
      <x:c r="AD11" s="40" t="n">
        <x:f>IF(ISBLANK(W11),"",ROUNDUP(W11*1.3,0))</x:f>
        <x:v>1300</x:v>
      </x:c>
      <x:c r="AE11" s="40" t="n">
        <x:v>1.3</x:v>
      </x:c>
    </x:row>
    <x:row r="12" ht="17">
      <x:c r="A12" s="3" t="str">
        <x:v>POI011</x:v>
      </x:c>
      <x:c r="B12" s="3" t="str">
        <x:v>旅游</x:v>
      </x:c>
      <x:c r="C12" s="3" t="str">
        <x:v>人文</x:v>
      </x:c>
      <x:c r="D12" s="3" t="str">
        <x:v>杭州</x:v>
      </x:c>
      <x:c r="E12" s="3" t="str">
        <x:v>中国丝绸博物馆</x:v>
      </x:c>
      <x:c r="F12" s="3" t="str">
        <x:v>25</x:v>
      </x:c>
      <x:c r="G12" s="3" t="str">
        <x:v>人文室内备选</x:v>
      </x:c>
      <x:c r="H12" s="3" t="str">
        <x:v>通用</x:v>
      </x:c>
      <x:c r="I12" s="3" t="str">
        <x:v>人文</x:v>
      </x:c>
      <x:c r="J12" s="3" t="str">
        <x:v>适中</x:v>
      </x:c>
      <x:c r="K12" s="3" t="str">
        <x:v>2.5小时</x:v>
      </x:c>
      <x:c r="L12" s="11" t="n">
        <x:v>2.5</x:v>
      </x:c>
      <x:c r="M12" s="3" t="str">
        <x:v>2-4小时</x:v>
      </x:c>
      <x:c r="N12" s="12" t="n">
        <x:v>0.31</x:v>
      </x:c>
      <x:c r="O12" s="3" t="str">
        <x:v>25</x:v>
      </x:c>
      <x:c r="P12" s="3" t="str">
        <x:v>25</x:v>
      </x:c>
      <x:c r="Q12" s="3" t="str">
        <x:v>25</x:v>
      </x:c>
      <x:c r="R12" s="3" t="str">
        <x:v>免费</x:v>
      </x:c>
      <x:c r="S12" s="3" t="str">
        <x:v>免费/0元</x:v>
      </x:c>
      <x:c r="T12" s="38" t="n">
        <x:v>0</x:v>
      </x:c>
      <x:c r="U12" s="38" t="n">
        <x:f>IF(ISBLANK(T12),"",ROUNDUP(T12*1.3,0))</x:f>
        <x:v>0</x:v>
      </x:c>
      <x:c r="V12" s="38"/>
      <x:c r="W12" s="38"/>
      <x:c r="X12" s="3" t="str">
        <x:v>元/人</x:v>
      </x:c>
      <x:c r="Y12" s="3" t="str">
        <x:v>未在价格PDF中出现</x:v>
      </x:c>
      <x:c r="Z12" s="3" t="str">
        <x:v>源点位表</x:v>
      </x:c>
      <x:c r="AA12" s="3" t="str">
        <x:v>未在价格PDF中出现</x:v>
      </x:c>
      <x:c r="AB12" s="3" t="str">
        <x:v>人文/轻量室内/雨天备选</x:v>
      </x:c>
      <x:c r="AC12" s="40" t="str">
        <x:f>IF(ISBLANK(V12),"",ROUNDUP(V12*1.3,0))</x:f>
      </x:c>
      <x:c r="AD12" s="40" t="str">
        <x:f>IF(ISBLANK(W12),"",ROUNDUP(W12*1.3,0))</x:f>
      </x:c>
      <x:c r="AE12" s="40" t="n">
        <x:v>1.3</x:v>
      </x:c>
    </x:row>
    <x:row r="13" ht="17">
      <x:c r="A13" s="3" t="str">
        <x:v>POI012</x:v>
      </x:c>
      <x:c r="B13" s="3" t="str">
        <x:v>旅游</x:v>
      </x:c>
      <x:c r="C13" s="3" t="str">
        <x:v>人文</x:v>
      </x:c>
      <x:c r="D13" s="3" t="str">
        <x:v>杭州</x:v>
      </x:c>
      <x:c r="E13" s="3" t="str">
        <x:v>漫游运河</x:v>
      </x:c>
      <x:c r="F13" s="3" t="str">
        <x:v>25</x:v>
      </x:c>
      <x:c r="G13" s="3" t="str">
        <x:v>西湖秘境/运河夜游</x:v>
      </x:c>
      <x:c r="H13" s="3" t="str">
        <x:v>通用</x:v>
      </x:c>
      <x:c r="I13" s="3" t="str">
        <x:v>人文</x:v>
      </x:c>
      <x:c r="J13" s="3" t="str">
        <x:v>休闲</x:v>
      </x:c>
      <x:c r="K13" s="3" t="str">
        <x:v>1.5小时</x:v>
      </x:c>
      <x:c r="L13" s="11" t="n">
        <x:v>1.5</x:v>
      </x:c>
      <x:c r="M13" s="3" t="str">
        <x:v>1-2小时</x:v>
      </x:c>
      <x:c r="N13" s="12" t="n">
        <x:v>0.19</x:v>
      </x:c>
      <x:c r="O13" s="3" t="str">
        <x:v>25</x:v>
      </x:c>
      <x:c r="P13" s="3" t="str">
        <x:v>25</x:v>
      </x:c>
      <x:c r="Q13" s="3" t="str">
        <x:v>25</x:v>
      </x:c>
      <x:c r="R13" s="3" t="str">
        <x:v>免费</x:v>
      </x:c>
      <x:c r="S13" s="3" t="str">
        <x:v>小河直街0；如梦上塘成人138/儿童68</x:v>
      </x:c>
      <x:c r="T13" s="38" t="n">
        <x:v>0</x:v>
      </x:c>
      <x:c r="U13" s="38" t="n">
        <x:f>IF(ISBLANK(T13),"",ROUNDUP(T13*1.3,0))</x:f>
        <x:v>0</x:v>
      </x:c>
      <x:c r="V13" s="38" t="n">
        <x:v>0</x:v>
      </x:c>
      <x:c r="W13" s="38" t="n">
        <x:v>138</x:v>
      </x:c>
      <x:c r="X13" s="3" t="str">
        <x:v>元/人</x:v>
      </x:c>
      <x:c r="Y13" s="3" t="str">
        <x:v>运河街区漫步免费；演出另计</x:v>
      </x:c>
      <x:c r="Z13" s="3" t="str">
        <x:v>康养文旅 p9</x:v>
      </x:c>
      <x:c r="AA13" s="3" t="str">
        <x:v>运河街区漫步免费；演出另计</x:v>
      </x:c>
      <x:c r="AB13" s="3" t="str">
        <x:v>城市漫游/夜游/人文</x:v>
      </x:c>
      <x:c r="AC13" s="40" t="n">
        <x:f>IF(ISBLANK(V13),"",ROUNDUP(V13*1.3,0))</x:f>
        <x:v>0</x:v>
      </x:c>
      <x:c r="AD13" s="40" t="n">
        <x:f>IF(ISBLANK(W13),"",ROUNDUP(W13*1.3,0))</x:f>
        <x:v>180</x:v>
      </x:c>
      <x:c r="AE13" s="40" t="n">
        <x:v>1.3</x:v>
      </x:c>
    </x:row>
    <x:row r="14" ht="17">
      <x:c r="A14" s="3" t="str">
        <x:v>POI013</x:v>
      </x:c>
      <x:c r="B14" s="3" t="str">
        <x:v>旅游</x:v>
      </x:c>
      <x:c r="C14" s="3" t="str">
        <x:v>人文</x:v>
      </x:c>
      <x:c r="D14" s="3" t="str">
        <x:v>杭州</x:v>
      </x:c>
      <x:c r="E14" s="3" t="str">
        <x:v>德寿宫深度</x:v>
      </x:c>
      <x:c r="F14" s="3" t="str">
        <x:v>25</x:v>
      </x:c>
      <x:c r="G14" s="3" t="str">
        <x:v>宋韵雅集</x:v>
      </x:c>
      <x:c r="H14" s="3" t="str">
        <x:v>通用</x:v>
      </x:c>
      <x:c r="I14" s="3" t="str">
        <x:v>人文</x:v>
      </x:c>
      <x:c r="J14" s="3" t="str">
        <x:v>适中</x:v>
      </x:c>
      <x:c r="K14" s="3" t="str">
        <x:v>2.5小时</x:v>
      </x:c>
      <x:c r="L14" s="11" t="n">
        <x:v>2.5</x:v>
      </x:c>
      <x:c r="M14" s="3" t="str">
        <x:v>2-4小时</x:v>
      </x:c>
      <x:c r="N14" s="12" t="n">
        <x:v>0.31</x:v>
      </x:c>
      <x:c r="O14" s="3" t="str">
        <x:v>25</x:v>
      </x:c>
      <x:c r="P14" s="3" t="str">
        <x:v>25</x:v>
      </x:c>
      <x:c r="Q14" s="3" t="str">
        <x:v>25</x:v>
      </x:c>
      <x:c r="R14" s="3" t="str">
        <x:v>区间价/多规格</x:v>
      </x:c>
      <x:c r="S14" s="3" t="str">
        <x:v>德寿宫体验218；古法制香80-120；团扇68-98</x:v>
      </x:c>
      <x:c r="T14" s="38" t="n">
        <x:v>218</x:v>
      </x:c>
      <x:c r="U14" s="38" t="n">
        <x:f>IF(ISBLANK(T14),"",ROUNDUP(T14*1.3,0))</x:f>
        <x:v>284</x:v>
      </x:c>
      <x:c r="V14" s="38" t="n">
        <x:v>68</x:v>
      </x:c>
      <x:c r="W14" s="38" t="n">
        <x:v>218</x:v>
      </x:c>
      <x:c r="X14" s="3" t="str">
        <x:v>元/人</x:v>
      </x:c>
      <x:c r="Y14" s="3" t="str">
        <x:v>具体以选择的手作项目为准</x:v>
      </x:c>
      <x:c r="Z14" s="3" t="str">
        <x:v>康养文旅 p11</x:v>
      </x:c>
      <x:c r="AA14" s="3" t="str">
        <x:v>具体以选择的手作项目为准</x:v>
      </x:c>
      <x:c r="AB14" s="3" t="str">
        <x:v>宋韵雅集/人文体验</x:v>
      </x:c>
      <x:c r="AC14" s="40" t="n">
        <x:f>IF(ISBLANK(V14),"",ROUNDUP(V14*1.3,0))</x:f>
        <x:v>89</x:v>
      </x:c>
      <x:c r="AD14" s="40" t="n">
        <x:f>IF(ISBLANK(W14),"",ROUNDUP(W14*1.3,0))</x:f>
        <x:v>284</x:v>
      </x:c>
      <x:c r="AE14" s="40" t="n">
        <x:v>1.3</x:v>
      </x:c>
    </x:row>
    <x:row r="15" ht="17">
      <x:c r="A15" s="3" t="str">
        <x:v>POI014</x:v>
      </x:c>
      <x:c r="B15" s="3" t="str">
        <x:v>旅游</x:v>
      </x:c>
      <x:c r="C15" s="3" t="str">
        <x:v>人文</x:v>
      </x:c>
      <x:c r="D15" s="3" t="str">
        <x:v>杭州</x:v>
      </x:c>
      <x:c r="E15" s="3" t="str">
        <x:v>良渚博物院</x:v>
      </x:c>
      <x:c r="F15" s="3" t="str">
        <x:v>25</x:v>
      </x:c>
      <x:c r="G15" s="3" t="str">
        <x:v>良渚文化线</x:v>
      </x:c>
      <x:c r="H15" s="3" t="str">
        <x:v>通用</x:v>
      </x:c>
      <x:c r="I15" s="3" t="str">
        <x:v>人文</x:v>
      </x:c>
      <x:c r="J15" s="3" t="str">
        <x:v>适中</x:v>
      </x:c>
      <x:c r="K15" s="3" t="str">
        <x:v>2小时</x:v>
      </x:c>
      <x:c r="L15" s="11" t="n">
        <x:v>2</x:v>
      </x:c>
      <x:c r="M15" s="3" t="str">
        <x:v>1-2小时</x:v>
      </x:c>
      <x:c r="N15" s="12" t="n">
        <x:v>0.25</x:v>
      </x:c>
      <x:c r="O15" s="3" t="str">
        <x:v>25</x:v>
      </x:c>
      <x:c r="P15" s="3" t="str">
        <x:v>25</x:v>
      </x:c>
      <x:c r="Q15" s="3" t="str">
        <x:v>25</x:v>
      </x:c>
      <x:c r="R15" s="3" t="str">
        <x:v>免费</x:v>
      </x:c>
      <x:c r="S15" s="3" t="str">
        <x:v>免费/0元</x:v>
      </x:c>
      <x:c r="T15" s="38" t="n">
        <x:v>0</x:v>
      </x:c>
      <x:c r="U15" s="38" t="n">
        <x:f>IF(ISBLANK(T15),"",ROUNDUP(T15*1.3,0))</x:f>
        <x:v>0</x:v>
      </x:c>
      <x:c r="V15" s="38"/>
      <x:c r="W15" s="38"/>
      <x:c r="X15" s="3" t="str">
        <x:v>元/人</x:v>
      </x:c>
      <x:c r="Y15" s="3" t="str">
        <x:v>未在价格PDF中出现</x:v>
      </x:c>
      <x:c r="Z15" s="3" t="str">
        <x:v>源点位表</x:v>
      </x:c>
      <x:c r="AA15" s="3" t="str">
        <x:v>未在价格PDF中出现</x:v>
      </x:c>
      <x:c r="AB15" s="3" t="str">
        <x:v>文化遗产/室内/雨天备选</x:v>
      </x:c>
      <x:c r="AC15" s="40" t="str">
        <x:f>IF(ISBLANK(V15),"",ROUNDUP(V15*1.3,0))</x:f>
      </x:c>
      <x:c r="AD15" s="40" t="str">
        <x:f>IF(ISBLANK(W15),"",ROUNDUP(W15*1.3,0))</x:f>
      </x:c>
      <x:c r="AE15" s="40" t="n">
        <x:v>1.3</x:v>
      </x:c>
    </x:row>
    <x:row r="16" ht="17">
      <x:c r="A16" s="3" t="str">
        <x:v>POI015</x:v>
      </x:c>
      <x:c r="B16" s="3" t="str">
        <x:v>旅游</x:v>
      </x:c>
      <x:c r="C16" s="3" t="str">
        <x:v>人文</x:v>
      </x:c>
      <x:c r="D16" s="3" t="str">
        <x:v>杭州</x:v>
      </x:c>
      <x:c r="E16" s="3" t="str">
        <x:v>中国国家版本馆杭州分馆</x:v>
      </x:c>
      <x:c r="F16" s="3" t="str">
        <x:v>25</x:v>
      </x:c>
      <x:c r="G16" s="3" t="str">
        <x:v>人文建筑/版本馆线</x:v>
      </x:c>
      <x:c r="H16" s="3" t="str">
        <x:v>通用</x:v>
      </x:c>
      <x:c r="I16" s="3" t="str">
        <x:v>人文</x:v>
      </x:c>
      <x:c r="J16" s="3" t="str">
        <x:v>适中</x:v>
      </x:c>
      <x:c r="K16" s="3" t="str">
        <x:v>2小时</x:v>
      </x:c>
      <x:c r="L16" s="11" t="n">
        <x:v>2</x:v>
      </x:c>
      <x:c r="M16" s="3" t="str">
        <x:v>1-2小时</x:v>
      </x:c>
      <x:c r="N16" s="12" t="n">
        <x:v>0.25</x:v>
      </x:c>
      <x:c r="O16" s="3" t="str">
        <x:v>25</x:v>
      </x:c>
      <x:c r="P16" s="3" t="str">
        <x:v>25</x:v>
      </x:c>
      <x:c r="Q16" s="3" t="str">
        <x:v>25</x:v>
      </x:c>
      <x:c r="R16" s="3" t="str">
        <x:v>免费</x:v>
      </x:c>
      <x:c r="S16" s="3" t="str">
        <x:v>免费/0元</x:v>
      </x:c>
      <x:c r="T16" s="38" t="n">
        <x:v>0</x:v>
      </x:c>
      <x:c r="U16" s="38" t="n">
        <x:f>IF(ISBLANK(T16),"",ROUNDUP(T16*1.3,0))</x:f>
        <x:v>0</x:v>
      </x:c>
      <x:c r="V16" s="38"/>
      <x:c r="W16" s="38"/>
      <x:c r="X16" s="3" t="str">
        <x:v>元/人</x:v>
      </x:c>
      <x:c r="Y16" s="3" t="str">
        <x:v>未在价格PDF中出现</x:v>
      </x:c>
      <x:c r="Z16" s="3" t="str">
        <x:v>源点位表</x:v>
      </x:c>
      <x:c r="AA16" s="3" t="str">
        <x:v>未在价格PDF中出现</x:v>
      </x:c>
      <x:c r="AB16" s="3" t="str">
        <x:v>文化建筑/摄影/人文</x:v>
      </x:c>
      <x:c r="AC16" s="40" t="str">
        <x:f>IF(ISBLANK(V16),"",ROUNDUP(V16*1.3,0))</x:f>
      </x:c>
      <x:c r="AD16" s="40" t="str">
        <x:f>IF(ISBLANK(W16),"",ROUNDUP(W16*1.3,0))</x:f>
      </x:c>
      <x:c r="AE16" s="40" t="n">
        <x:v>1.3</x:v>
      </x:c>
    </x:row>
    <x:row r="17" ht="17">
      <x:c r="A17" s="3" t="str">
        <x:v>POI016</x:v>
      </x:c>
      <x:c r="B17" s="3" t="str">
        <x:v>旅游</x:v>
      </x:c>
      <x:c r="C17" s="3" t="str">
        <x:v>人文</x:v>
      </x:c>
      <x:c r="D17" s="3" t="str">
        <x:v>杭州</x:v>
      </x:c>
      <x:c r="E17" s="3" t="str">
        <x:v>观胡庆余堂中药博物馆</x:v>
      </x:c>
      <x:c r="F17" s="3" t="str">
        <x:v>25</x:v>
      </x:c>
      <x:c r="G17" s="3" t="str">
        <x:v>东方本草</x:v>
      </x:c>
      <x:c r="H17" s="3" t="str">
        <x:v>通用</x:v>
      </x:c>
      <x:c r="I17" s="3" t="str">
        <x:v>人文</x:v>
      </x:c>
      <x:c r="J17" s="3" t="str">
        <x:v>休闲</x:v>
      </x:c>
      <x:c r="K17" s="3" t="str">
        <x:v>1.5小时</x:v>
      </x:c>
      <x:c r="L17" s="11" t="n">
        <x:v>1.5</x:v>
      </x:c>
      <x:c r="M17" s="3" t="str">
        <x:v>1-2小时</x:v>
      </x:c>
      <x:c r="N17" s="12" t="n">
        <x:v>0.19</x:v>
      </x:c>
      <x:c r="O17" s="3" t="str">
        <x:v>25</x:v>
      </x:c>
      <x:c r="P17" s="3" t="str">
        <x:v>25</x:v>
      </x:c>
      <x:c r="Q17" s="3" t="str">
        <x:v>25</x:v>
      </x:c>
      <x:c r="R17" s="3" t="str">
        <x:v>已补充</x:v>
      </x:c>
      <x:c r="S17" s="3" t="str">
        <x:v>门票10/人</x:v>
      </x:c>
      <x:c r="T17" s="38" t="n">
        <x:v>10</x:v>
      </x:c>
      <x:c r="U17" s="38" t="n">
        <x:f>IF(ISBLANK(T17),"",ROUNDUP(T17*1.3,0))</x:f>
        <x:v>13</x:v>
      </x:c>
      <x:c r="V17" s="38" t="n">
        <x:v>10</x:v>
      </x:c>
      <x:c r="W17" s="38" t="n">
        <x:v>10</x:v>
      </x:c>
      <x:c r="X17" s="3" t="str">
        <x:v>元/人</x:v>
      </x:c>
      <x:c r="Y17" s="3" t="str">
        <x:v>需提前3天预约</x:v>
      </x:c>
      <x:c r="Z17" s="3" t="str">
        <x:v>康养文旅 p2</x:v>
      </x:c>
      <x:c r="AA17" s="3" t="str">
        <x:v>需提前3天预约</x:v>
      </x:c>
      <x:c r="AB17" s="3" t="str">
        <x:v>中医文化/胡庆余堂线</x:v>
      </x:c>
      <x:c r="AC17" s="40" t="n">
        <x:f>IF(ISBLANK(V17),"",ROUNDUP(V17*1.3,0))</x:f>
        <x:v>13</x:v>
      </x:c>
      <x:c r="AD17" s="40" t="n">
        <x:f>IF(ISBLANK(W17),"",ROUNDUP(W17*1.3,0))</x:f>
        <x:v>13</x:v>
      </x:c>
      <x:c r="AE17" s="40" t="n">
        <x:v>1.3</x:v>
      </x:c>
    </x:row>
    <x:row r="18" ht="17">
      <x:c r="A18" s="3" t="str">
        <x:v>POI017</x:v>
      </x:c>
      <x:c r="B18" s="3" t="str">
        <x:v>旅游</x:v>
      </x:c>
      <x:c r="C18" s="3" t="str">
        <x:v>体验</x:v>
      </x:c>
      <x:c r="D18" s="3" t="str">
        <x:v>杭州</x:v>
      </x:c>
      <x:c r="E18" s="3" t="str">
        <x:v>体质辨识与中医调理</x:v>
      </x:c>
      <x:c r="F18" s="3" t="str">
        <x:v>25</x:v>
      </x:c>
      <x:c r="G18" s="3" t="str">
        <x:v>东方本草/筋骨调养</x:v>
      </x:c>
      <x:c r="H18" s="3" t="str">
        <x:v>通用</x:v>
      </x:c>
      <x:c r="I18" s="3" t="str">
        <x:v>体验</x:v>
      </x:c>
      <x:c r="J18" s="3" t="str">
        <x:v>休闲</x:v>
      </x:c>
      <x:c r="K18" s="3" t="str">
        <x:v>0.5小时</x:v>
      </x:c>
      <x:c r="L18" s="11" t="n">
        <x:v>0.5</x:v>
      </x:c>
      <x:c r="M18" s="3" t="str">
        <x:v>0-1小时</x:v>
      </x:c>
      <x:c r="N18" s="12" t="n">
        <x:v>0.06</x:v>
      </x:c>
      <x:c r="O18" s="3" t="str">
        <x:v>25</x:v>
      </x:c>
      <x:c r="P18" s="3" t="str">
        <x:v>25</x:v>
      </x:c>
      <x:c r="Q18" s="3" t="str">
        <x:v>25</x:v>
      </x:c>
      <x:c r="R18" s="3" t="str">
        <x:v>已补充</x:v>
      </x:c>
      <x:c r="S18" s="3" t="str">
        <x:v>挂号/绿通100；针灸/推拿/拔罐价格待确认</x:v>
      </x:c>
      <x:c r="T18" s="38" t="n">
        <x:v>100</x:v>
      </x:c>
      <x:c r="U18" s="38" t="n">
        <x:f>IF(ISBLANK(T18),"",ROUNDUP(T18*1.3,0))</x:f>
        <x:v>130</x:v>
      </x:c>
      <x:c r="V18" s="38" t="n">
        <x:v>100</x:v>
      </x:c>
      <x:c r="W18" s="38" t="n">
        <x:v>100</x:v>
      </x:c>
      <x:c r="X18" s="3" t="str">
        <x:v>元/人</x:v>
      </x:c>
      <x:c r="Y18" s="3" t="str">
        <x:v>胡庆余堂老中医体质辨识需提前1-2周预约</x:v>
      </x:c>
      <x:c r="Z18" s="3" t="str">
        <x:v>康养文旅 p2</x:v>
      </x:c>
      <x:c r="AA18" s="3" t="str">
        <x:v>胡庆余堂老中医体质辨识需提前1-2周预约</x:v>
      </x:c>
      <x:c r="AB18" s="3" t="str">
        <x:v>中医养生/轻医疗体验</x:v>
      </x:c>
      <x:c r="AC18" s="40" t="n">
        <x:f>IF(ISBLANK(V18),"",ROUNDUP(V18*1.3,0))</x:f>
        <x:v>130</x:v>
      </x:c>
      <x:c r="AD18" s="40" t="n">
        <x:f>IF(ISBLANK(W18),"",ROUNDUP(W18*1.3,0))</x:f>
        <x:v>130</x:v>
      </x:c>
      <x:c r="AE18" s="40" t="n">
        <x:v>1.3</x:v>
      </x:c>
    </x:row>
    <x:row r="19" ht="17">
      <x:c r="A19" s="3" t="str">
        <x:v>POI018</x:v>
      </x:c>
      <x:c r="B19" s="3" t="str">
        <x:v>旅游</x:v>
      </x:c>
      <x:c r="C19" s="3" t="str">
        <x:v>体验</x:v>
      </x:c>
      <x:c r="D19" s="3" t="str">
        <x:v>杭州</x:v>
      </x:c>
      <x:c r="E19" s="3" t="str">
        <x:v>一站式宋韵沉浸</x:v>
      </x:c>
      <x:c r="F19" s="3" t="str">
        <x:v>25</x:v>
      </x:c>
      <x:c r="G19" s="3" t="str">
        <x:v>宋韵雅集</x:v>
      </x:c>
      <x:c r="H19" s="3" t="str">
        <x:v>通用</x:v>
      </x:c>
      <x:c r="I19" s="3" t="str">
        <x:v>体验</x:v>
      </x:c>
      <x:c r="J19" s="3" t="str">
        <x:v>休闲</x:v>
      </x:c>
      <x:c r="K19" s="3" t="str">
        <x:v>1小时</x:v>
      </x:c>
      <x:c r="L19" s="11" t="n">
        <x:v>1</x:v>
      </x:c>
      <x:c r="M19" s="3" t="str">
        <x:v>0-1小时</x:v>
      </x:c>
      <x:c r="N19" s="12" t="n">
        <x:v>0.12</x:v>
      </x:c>
      <x:c r="O19" s="3" t="str">
        <x:v>25</x:v>
      </x:c>
      <x:c r="P19" s="3" t="str">
        <x:v>25</x:v>
      </x:c>
      <x:c r="Q19" s="3" t="str">
        <x:v>25</x:v>
      </x:c>
      <x:c r="R19" s="3" t="str">
        <x:v>区间价/多规格</x:v>
      </x:c>
      <x:c r="S19" s="3" t="str">
        <x:v>汉服200 + 德寿宫218 + 点茶188；宫宴演出598可选</x:v>
      </x:c>
      <x:c r="T19" s="38" t="n">
        <x:v>606</x:v>
      </x:c>
      <x:c r="U19" s="38" t="n">
        <x:f>IF(ISBLANK(T19),"",ROUNDUP(T19*1.3,0))</x:f>
        <x:v>788</x:v>
      </x:c>
      <x:c r="V19" s="38" t="n">
        <x:v>200</x:v>
      </x:c>
      <x:c r="W19" s="38" t="n">
        <x:v>1204</x:v>
      </x:c>
      <x:c r="X19" s="3" t="str">
        <x:v>元/人</x:v>
      </x:c>
      <x:c r="Y19" s="3" t="str">
        <x:v>按宋韵雅集核心组件估算</x:v>
      </x:c>
      <x:c r="Z19" s="3" t="str">
        <x:v>康养文旅 p11-p12</x:v>
      </x:c>
      <x:c r="AA19" s="3" t="str">
        <x:v>按宋韵雅集核心组件估算</x:v>
      </x:c>
      <x:c r="AB19" s="3" t="str">
        <x:v>宋韵雅集/高体验感</x:v>
      </x:c>
      <x:c r="AC19" s="40" t="n">
        <x:f>IF(ISBLANK(V19),"",ROUNDUP(V19*1.3,0))</x:f>
        <x:v>260</x:v>
      </x:c>
      <x:c r="AD19" s="40" t="n">
        <x:f>IF(ISBLANK(W19),"",ROUNDUP(W19*1.3,0))</x:f>
        <x:v>1566</x:v>
      </x:c>
      <x:c r="AE19" s="40" t="n">
        <x:v>1.3</x:v>
      </x:c>
    </x:row>
    <x:row r="20" ht="17">
      <x:c r="A20" s="3" t="str">
        <x:v>POI019</x:v>
      </x:c>
      <x:c r="B20" s="3" t="str">
        <x:v>旅游</x:v>
      </x:c>
      <x:c r="C20" s="3" t="str">
        <x:v>体验</x:v>
      </x:c>
      <x:c r="D20" s="3" t="str">
        <x:v>杭州</x:v>
      </x:c>
      <x:c r="E20" s="3" t="str">
        <x:v>宋代点茶体验</x:v>
      </x:c>
      <x:c r="F20" s="3" t="str">
        <x:v>25</x:v>
      </x:c>
      <x:c r="G20" s="3" t="str">
        <x:v>宋韵雅集/禅茶一味</x:v>
      </x:c>
      <x:c r="H20" s="3" t="str">
        <x:v>通用</x:v>
      </x:c>
      <x:c r="I20" s="3" t="str">
        <x:v>体验</x:v>
      </x:c>
      <x:c r="J20" s="3" t="str">
        <x:v>休闲</x:v>
      </x:c>
      <x:c r="K20" s="3" t="str">
        <x:v>1.5小时</x:v>
      </x:c>
      <x:c r="L20" s="11" t="n">
        <x:v>1.5</x:v>
      </x:c>
      <x:c r="M20" s="3" t="str">
        <x:v>1-2小时</x:v>
      </x:c>
      <x:c r="N20" s="12" t="n">
        <x:v>0.19</x:v>
      </x:c>
      <x:c r="O20" s="3" t="str">
        <x:v>25</x:v>
      </x:c>
      <x:c r="P20" s="3" t="str">
        <x:v>25</x:v>
      </x:c>
      <x:c r="Q20" s="3" t="str">
        <x:v>25</x:v>
      </x:c>
      <x:c r="R20" s="3" t="str">
        <x:v>区间价/多规格</x:v>
      </x:c>
      <x:c r="S20" s="3" t="str">
        <x:v>径山民宿98/位；青藤茶馆188/人</x:v>
      </x:c>
      <x:c r="T20" s="38" t="n">
        <x:v>98</x:v>
      </x:c>
      <x:c r="U20" s="38" t="n">
        <x:f>IF(ISBLANK(T20),"",ROUNDUP(T20*1.3,0))</x:f>
        <x:v>128</x:v>
      </x:c>
      <x:c r="V20" s="38" t="n">
        <x:v>98</x:v>
      </x:c>
      <x:c r="W20" s="38" t="n">
        <x:v>188</x:v>
      </x:c>
      <x:c r="X20" s="3" t="str">
        <x:v>元/人</x:v>
      </x:c>
      <x:c r="Y20" s="3" t="str">
        <x:v>根据场地不同计价</x:v>
      </x:c>
      <x:c r="Z20" s="3" t="str">
        <x:v>康养文旅 p6,p11</x:v>
      </x:c>
      <x:c r="AA20" s="3" t="str">
        <x:v>根据场地不同计价</x:v>
      </x:c>
      <x:c r="AB20" s="3" t="str">
        <x:v>茶文化/宋韵/体验类</x:v>
      </x:c>
      <x:c r="AC20" s="40" t="n">
        <x:f>IF(ISBLANK(V20),"",ROUNDUP(V20*1.3,0))</x:f>
        <x:v>128</x:v>
      </x:c>
      <x:c r="AD20" s="40" t="n">
        <x:f>IF(ISBLANK(W20),"",ROUNDUP(W20*1.3,0))</x:f>
        <x:v>245</x:v>
      </x:c>
      <x:c r="AE20" s="40" t="n">
        <x:v>1.3</x:v>
      </x:c>
    </x:row>
    <x:row r="21" ht="17">
      <x:c r="A21" s="3" t="str">
        <x:v>POI020</x:v>
      </x:c>
      <x:c r="B21" s="3" t="str">
        <x:v>旅游</x:v>
      </x:c>
      <x:c r="C21" s="3" t="str">
        <x:v>体验</x:v>
      </x:c>
      <x:c r="D21" s="3" t="str">
        <x:v>杭州</x:v>
      </x:c>
      <x:c r="E21" s="3" t="str">
        <x:v>茶园采茶体验</x:v>
      </x:c>
      <x:c r="F21" s="3" t="str">
        <x:v>25</x:v>
      </x:c>
      <x:c r="G21" s="3" t="str">
        <x:v>龙井茶韵</x:v>
      </x:c>
      <x:c r="H21" s="3" t="str">
        <x:v>通用</x:v>
      </x:c>
      <x:c r="I21" s="3" t="str">
        <x:v>体验</x:v>
      </x:c>
      <x:c r="J21" s="3" t="str">
        <x:v>休闲</x:v>
      </x:c>
      <x:c r="K21" s="3" t="str">
        <x:v>1.5小时</x:v>
      </x:c>
      <x:c r="L21" s="11" t="n">
        <x:v>1.5</x:v>
      </x:c>
      <x:c r="M21" s="3" t="str">
        <x:v>1-2小时</x:v>
      </x:c>
      <x:c r="N21" s="12" t="n">
        <x:v>0.19</x:v>
      </x:c>
      <x:c r="O21" s="3" t="str">
        <x:v>25</x:v>
      </x:c>
      <x:c r="P21" s="3" t="str">
        <x:v>25</x:v>
      </x:c>
      <x:c r="Q21" s="3" t="str">
        <x:v>25</x:v>
      </x:c>
      <x:c r="R21" s="3" t="str">
        <x:v>已补充</x:v>
      </x:c>
      <x:c r="S21" s="3" t="str">
        <x:v>采茶/炒茶/品茶组合288/人</x:v>
      </x:c>
      <x:c r="T21" s="38" t="n">
        <x:v>288</x:v>
      </x:c>
      <x:c r="U21" s="38" t="n">
        <x:f>IF(ISBLANK(T21),"",ROUNDUP(T21*1.3,0))</x:f>
        <x:v>375</x:v>
      </x:c>
      <x:c r="V21" s="38" t="n">
        <x:v>288</x:v>
      </x:c>
      <x:c r="W21" s="38" t="n">
        <x:v>288</x:v>
      </x:c>
      <x:c r="X21" s="3" t="str">
        <x:v>元/人</x:v>
      </x:c>
      <x:c r="Y21" s="3" t="str">
        <x:v>约3小时，含道具与茶园摄影</x:v>
      </x:c>
      <x:c r="Z21" s="3" t="str">
        <x:v>康养文旅 p16</x:v>
      </x:c>
      <x:c r="AA21" s="3" t="str">
        <x:v>约3小时，含道具与茶园摄影</x:v>
      </x:c>
      <x:c r="AB21" s="3" t="str">
        <x:v>茶文化/自然/体验类</x:v>
      </x:c>
      <x:c r="AC21" s="40" t="n">
        <x:f>IF(ISBLANK(V21),"",ROUNDUP(V21*1.3,0))</x:f>
        <x:v>375</x:v>
      </x:c>
      <x:c r="AD21" s="40" t="n">
        <x:f>IF(ISBLANK(W21),"",ROUNDUP(W21*1.3,0))</x:f>
        <x:v>375</x:v>
      </x:c>
      <x:c r="AE21" s="40" t="n">
        <x:v>1.3</x:v>
      </x:c>
    </x:row>
    <x:row r="22" ht="17">
      <x:c r="A22" s="3" t="str">
        <x:v>POI021</x:v>
      </x:c>
      <x:c r="B22" s="3" t="str">
        <x:v>旅游</x:v>
      </x:c>
      <x:c r="C22" s="3" t="str">
        <x:v>体验</x:v>
      </x:c>
      <x:c r="D22" s="3" t="str">
        <x:v>杭州</x:v>
      </x:c>
      <x:c r="E22" s="3" t="str">
        <x:v>手工炒茶教学</x:v>
      </x:c>
      <x:c r="F22" s="3" t="str">
        <x:v>25</x:v>
      </x:c>
      <x:c r="G22" s="3" t="str">
        <x:v>龙井茶韵</x:v>
      </x:c>
      <x:c r="H22" s="3" t="str">
        <x:v>通用</x:v>
      </x:c>
      <x:c r="I22" s="3" t="str">
        <x:v>体验</x:v>
      </x:c>
      <x:c r="J22" s="3" t="str">
        <x:v>休闲</x:v>
      </x:c>
      <x:c r="K22" s="3" t="str">
        <x:v>1小时</x:v>
      </x:c>
      <x:c r="L22" s="11" t="n">
        <x:v>1</x:v>
      </x:c>
      <x:c r="M22" s="3" t="str">
        <x:v>0-1小时</x:v>
      </x:c>
      <x:c r="N22" s="12" t="n">
        <x:v>0.12</x:v>
      </x:c>
      <x:c r="O22" s="3" t="str">
        <x:v>25</x:v>
      </x:c>
      <x:c r="P22" s="3" t="str">
        <x:v>25</x:v>
      </x:c>
      <x:c r="Q22" s="3" t="str">
        <x:v>25</x:v>
      </x:c>
      <x:c r="R22" s="3" t="str">
        <x:v>免费</x:v>
      </x:c>
      <x:c r="S22" s="3" t="str">
        <x:v>已含在采茶/炒茶/品茶组合288/人内</x:v>
      </x:c>
      <x:c r="T22" s="38" t="n">
        <x:v>0</x:v>
      </x:c>
      <x:c r="U22" s="38" t="n">
        <x:f>IF(ISBLANK(T22),"",ROUNDUP(T22*1.3,0))</x:f>
        <x:v>0</x:v>
      </x:c>
      <x:c r="V22" s="38" t="n">
        <x:v>0</x:v>
      </x:c>
      <x:c r="W22" s="38" t="n">
        <x:v>288</x:v>
      </x:c>
      <x:c r="X22" s="3" t="str">
        <x:v>元/人</x:v>
      </x:c>
      <x:c r="Y22" s="3" t="str">
        <x:v>若单独销售需二次报价</x:v>
      </x:c>
      <x:c r="Z22" s="3" t="str">
        <x:v>康养文旅 p16-p17</x:v>
      </x:c>
      <x:c r="AA22" s="3" t="str">
        <x:v>若单独销售需二次报价</x:v>
      </x:c>
      <x:c r="AB22" s="3" t="str">
        <x:v>茶文化/体验类</x:v>
      </x:c>
      <x:c r="AC22" s="40" t="n">
        <x:f>IF(ISBLANK(V22),"",ROUNDUP(V22*1.3,0))</x:f>
        <x:v>0</x:v>
      </x:c>
      <x:c r="AD22" s="40" t="n">
        <x:f>IF(ISBLANK(W22),"",ROUNDUP(W22*1.3,0))</x:f>
        <x:v>375</x:v>
      </x:c>
      <x:c r="AE22" s="40" t="n">
        <x:v>1.3</x:v>
      </x:c>
    </x:row>
    <x:row r="23" ht="17">
      <x:c r="A23" s="3" t="str">
        <x:v>POI022</x:v>
      </x:c>
      <x:c r="B23" s="3" t="str">
        <x:v>旅游</x:v>
      </x:c>
      <x:c r="C23" s="3" t="str">
        <x:v>体验</x:v>
      </x:c>
      <x:c r="D23" s="3" t="str">
        <x:v>杭州</x:v>
      </x:c>
      <x:c r="E23" s="3" t="str">
        <x:v>茶叶品鉴研学</x:v>
      </x:c>
      <x:c r="F23" s="3" t="str">
        <x:v>25</x:v>
      </x:c>
      <x:c r="G23" s="3" t="str">
        <x:v>龙井茶韵</x:v>
      </x:c>
      <x:c r="H23" s="3" t="str">
        <x:v>通用</x:v>
      </x:c>
      <x:c r="I23" s="3" t="str">
        <x:v>体验</x:v>
      </x:c>
      <x:c r="J23" s="3" t="str">
        <x:v>休闲</x:v>
      </x:c>
      <x:c r="K23" s="3" t="str">
        <x:v>1小时</x:v>
      </x:c>
      <x:c r="L23" s="11" t="n">
        <x:v>1</x:v>
      </x:c>
      <x:c r="M23" s="3" t="str">
        <x:v>0-1小时</x:v>
      </x:c>
      <x:c r="N23" s="12" t="n">
        <x:v>0.12</x:v>
      </x:c>
      <x:c r="O23" s="3" t="str">
        <x:v>25</x:v>
      </x:c>
      <x:c r="P23" s="3" t="str">
        <x:v>25</x:v>
      </x:c>
      <x:c r="Q23" s="3" t="str">
        <x:v>25</x:v>
      </x:c>
      <x:c r="R23" s="3" t="str">
        <x:v>区间价/多规格</x:v>
      </x:c>
      <x:c r="S23" s="3" t="str">
        <x:v>组合内免费品饮；单独品茗150/人</x:v>
      </x:c>
      <x:c r="T23" s="38" t="n">
        <x:v>150</x:v>
      </x:c>
      <x:c r="U23" s="38" t="n">
        <x:f>IF(ISBLANK(T23),"",ROUNDUP(T23*1.3,0))</x:f>
        <x:v>195</x:v>
      </x:c>
      <x:c r="V23" s="38" t="n">
        <x:v>0</x:v>
      </x:c>
      <x:c r="W23" s="38" t="n">
        <x:v>150</x:v>
      </x:c>
      <x:c r="X23" s="3" t="str">
        <x:v>元/人</x:v>
      </x:c>
      <x:c r="Y23" s="3" t="str">
        <x:v>根据是否单独茶馆品茗计价</x:v>
      </x:c>
      <x:c r="Z23" s="3" t="str">
        <x:v>康养文旅 p17</x:v>
      </x:c>
      <x:c r="AA23" s="3" t="str">
        <x:v>根据是否单独茶馆品茗计价</x:v>
      </x:c>
      <x:c r="AB23" s="3" t="str">
        <x:v>茶文化/研学</x:v>
      </x:c>
      <x:c r="AC23" s="40" t="n">
        <x:f>IF(ISBLANK(V23),"",ROUNDUP(V23*1.3,0))</x:f>
        <x:v>0</x:v>
      </x:c>
      <x:c r="AD23" s="40" t="n">
        <x:f>IF(ISBLANK(W23),"",ROUNDUP(W23*1.3,0))</x:f>
        <x:v>195</x:v>
      </x:c>
      <x:c r="AE23" s="40" t="n">
        <x:v>1.3</x:v>
      </x:c>
    </x:row>
    <x:row r="24" ht="17">
      <x:c r="A24" s="3" t="str">
        <x:v>POI023</x:v>
      </x:c>
      <x:c r="B24" s="3" t="str">
        <x:v>旅游</x:v>
      </x:c>
      <x:c r="C24" s="3" t="str">
        <x:v>体验</x:v>
      </x:c>
      <x:c r="D24" s="3" t="str">
        <x:v>杭州</x:v>
      </x:c>
      <x:c r="E24" s="3" t="str">
        <x:v>径山茶宴与宋代点茶体验</x:v>
      </x:c>
      <x:c r="F24" s="3" t="str">
        <x:v>25</x:v>
      </x:c>
      <x:c r="G24" s="3" t="str">
        <x:v>禅茶一味</x:v>
      </x:c>
      <x:c r="H24" s="3" t="str">
        <x:v>通用</x:v>
      </x:c>
      <x:c r="I24" s="3" t="str">
        <x:v>体验</x:v>
      </x:c>
      <x:c r="J24" s="3" t="str">
        <x:v>休闲</x:v>
      </x:c>
      <x:c r="K24" s="3" t="str">
        <x:v>1小时</x:v>
      </x:c>
      <x:c r="L24" s="11" t="n">
        <x:v>1</x:v>
      </x:c>
      <x:c r="M24" s="3" t="str">
        <x:v>0-1小时</x:v>
      </x:c>
      <x:c r="N24" s="12" t="n">
        <x:v>0.12</x:v>
      </x:c>
      <x:c r="O24" s="3" t="str">
        <x:v>25</x:v>
      </x:c>
      <x:c r="P24" s="3" t="str">
        <x:v>25</x:v>
      </x:c>
      <x:c r="Q24" s="3" t="str">
        <x:v>25</x:v>
      </x:c>
      <x:c r="R24" s="3" t="str">
        <x:v>部分补充</x:v>
      </x:c>
      <x:c r="S24" s="3" t="str">
        <x:v>径山茶礼官方免费；宋代点茶98/位；茶果待定；默认售价245/元/人（成本×1.3）</x:v>
      </x:c>
      <x:c r="T24" s="38" t="n">
        <x:v>188</x:v>
      </x:c>
      <x:c r="U24" s="38" t="n">
        <x:f>IF(ISBLANK(T24),"",ROUNDUP(T24*1.3,0))</x:f>
        <x:v>245</x:v>
      </x:c>
      <x:c r="V24" s="38" t="n">
        <x:v>0</x:v>
      </x:c>
      <x:c r="W24" s="38" t="n">
        <x:v>98</x:v>
      </x:c>
      <x:c r="X24" s="3" t="str">
        <x:v>元/人</x:v>
      </x:c>
      <x:c r="Y24" s="3" t="str">
        <x:v>径山茶礼需预约，预约上免费</x:v>
      </x:c>
      <x:c r="Z24" s="3" t="str">
        <x:v>康养文旅 p6-p7</x:v>
      </x:c>
      <x:c r="AA24" s="3" t="str">
        <x:v>径山茶礼需预约，预约上免费</x:v>
      </x:c>
      <x:c r="AB24" s="3" t="str">
        <x:v>禅茶/茶文化/疗愈</x:v>
      </x:c>
      <x:c r="AC24" s="40" t="n">
        <x:f>IF(ISBLANK(V24),"",ROUNDUP(V24*1.3,0))</x:f>
        <x:v>0</x:v>
      </x:c>
      <x:c r="AD24" s="40" t="n">
        <x:f>IF(ISBLANK(W24),"",ROUNDUP(W24*1.3,0))</x:f>
        <x:v>128</x:v>
      </x:c>
      <x:c r="AE24" s="40" t="n">
        <x:v>1.3</x:v>
      </x:c>
    </x:row>
    <x:row r="25" ht="34">
      <x:c r="A25" s="3" t="str">
        <x:v>POI024</x:v>
      </x:c>
      <x:c r="B25" s="3" t="str">
        <x:v>旅游</x:v>
      </x:c>
      <x:c r="C25" s="3" t="str">
        <x:v>体验</x:v>
      </x:c>
      <x:c r="D25" s="3" t="str">
        <x:v>杭州</x:v>
      </x:c>
      <x:c r="E25" s="3" t="str">
        <x:v>八部金刚功练习</x:v>
      </x:c>
      <x:c r="F25" s="3" t="str">
        <x:v>25</x:v>
      </x:c>
      <x:c r="G25" s="3" t="str">
        <x:v>筋骨调养</x:v>
      </x:c>
      <x:c r="H25" s="3" t="str">
        <x:v>通用</x:v>
      </x:c>
      <x:c r="I25" s="3" t="str">
        <x:v>体验</x:v>
      </x:c>
      <x:c r="J25" s="3" t="str">
        <x:v>休闲</x:v>
      </x:c>
      <x:c r="K25" s="3" t="str">
        <x:v>1小时</x:v>
      </x:c>
      <x:c r="L25" s="11" t="n">
        <x:v>1</x:v>
      </x:c>
      <x:c r="M25" s="3" t="str">
        <x:v>0-1小时</x:v>
      </x:c>
      <x:c r="N25" s="12" t="n">
        <x:v>0.12</x:v>
      </x:c>
      <x:c r="O25" s="3" t="str">
        <x:v>25</x:v>
      </x:c>
      <x:c r="P25" s="3" t="str">
        <x:v>25</x:v>
      </x:c>
      <x:c r="Q25" s="3" t="str">
        <x:v>25</x:v>
      </x:c>
      <x:c r="R25" s="3" t="str">
        <x:v>已补充</x:v>
      </x:c>
      <x:c r="S25" s="3" t="str">
        <x:v>老师费800/90分钟/团</x:v>
      </x:c>
      <x:c r="T25" s="38" t="n">
        <x:v>800</x:v>
      </x:c>
      <x:c r="U25" s="38" t="n">
        <x:f>IF(ISBLANK(T25),"",ROUNDUP(T25*1.3,0))</x:f>
        <x:v>1040</x:v>
      </x:c>
      <x:c r="V25" s="38" t="n">
        <x:v>800</x:v>
      </x:c>
      <x:c r="W25" s="38" t="n">
        <x:v>800</x:v>
      </x:c>
      <x:c r="X25" s="3" t="str">
        <x:v>元/团</x:v>
      </x:c>
      <x:c r="Y25" s="3" t="str">
        <x:v>PDF使用“八段锦/太极老师800元”，本行按养生功法类通用老师费</x:v>
      </x:c>
      <x:c r="Z25" s="3" t="str">
        <x:v>康养文旅 p22</x:v>
      </x:c>
      <x:c r="AA25" s="3" t="str">
        <x:v>PDF使用“八段锦/太极老师800元”，本行按养生功法类通用老师费</x:v>
      </x:c>
      <x:c r="AB25" s="3" t="str">
        <x:v>筋骨调养/晨练/轻运动</x:v>
      </x:c>
      <x:c r="AC25" s="40" t="n">
        <x:f>IF(ISBLANK(V25),"",ROUNDUP(V25*1.3,0))</x:f>
        <x:v>1040</x:v>
      </x:c>
      <x:c r="AD25" s="40" t="n">
        <x:f>IF(ISBLANK(W25),"",ROUNDUP(W25*1.3,0))</x:f>
        <x:v>1040</x:v>
      </x:c>
      <x:c r="AE25" s="40" t="n">
        <x:v>1.3</x:v>
      </x:c>
    </x:row>
    <x:row r="26" ht="17">
      <x:c r="A26" s="3" t="str">
        <x:v>POI025</x:v>
      </x:c>
      <x:c r="B26" s="3" t="str">
        <x:v>旅游</x:v>
      </x:c>
      <x:c r="C26" s="3" t="str">
        <x:v>体验</x:v>
      </x:c>
      <x:c r="D26" s="3" t="str">
        <x:v>杭州</x:v>
      </x:c>
      <x:c r="E26" s="3" t="str">
        <x:v>制作茶果子</x:v>
      </x:c>
      <x:c r="F26" s="3" t="str">
        <x:v>25</x:v>
      </x:c>
      <x:c r="G26" s="3" t="str">
        <x:v>禅茶一味</x:v>
      </x:c>
      <x:c r="H26" s="3" t="str">
        <x:v>通用</x:v>
      </x:c>
      <x:c r="I26" s="3" t="str">
        <x:v>体验</x:v>
      </x:c>
      <x:c r="J26" s="3" t="str">
        <x:v>休闲</x:v>
      </x:c>
      <x:c r="K26" s="3" t="str">
        <x:v>1.5小时</x:v>
      </x:c>
      <x:c r="L26" s="11" t="n">
        <x:v>1.5</x:v>
      </x:c>
      <x:c r="M26" s="3" t="str">
        <x:v>1-2小时</x:v>
      </x:c>
      <x:c r="N26" s="12" t="n">
        <x:v>0.19</x:v>
      </x:c>
      <x:c r="O26" s="3" t="str">
        <x:v>25</x:v>
      </x:c>
      <x:c r="P26" s="3" t="str">
        <x:v>25</x:v>
      </x:c>
      <x:c r="Q26" s="3" t="str">
        <x:v>25</x:v>
      </x:c>
      <x:c r="R26" s="3" t="str">
        <x:v>部分补充</x:v>
      </x:c>
      <x:c r="S26" s="3" t="str">
        <x:v>茶果制作待定；抄经59/位；默认售价78/元/人（成本×1.3）</x:v>
      </x:c>
      <x:c r="T26" s="38" t="n">
        <x:v>60</x:v>
      </x:c>
      <x:c r="U26" s="38" t="n">
        <x:f>IF(ISBLANK(T26),"",ROUNDUP(T26*1.3,0))</x:f>
        <x:v>78</x:v>
      </x:c>
      <x:c r="V26" s="38" t="n">
        <x:v>59</x:v>
      </x:c>
      <x:c r="W26" s="38" t="n">
        <x:v>59</x:v>
      </x:c>
      <x:c r="X26" s="3" t="str">
        <x:v>元/人</x:v>
      </x:c>
      <x:c r="Y26" s="3" t="str">
        <x:v>茶果子需补价</x:v>
      </x:c>
      <x:c r="Z26" s="3" t="str">
        <x:v>康养文旅 p7</x:v>
      </x:c>
      <x:c r="AA26" s="3" t="str">
        <x:v>茶果子需补价</x:v>
      </x:c>
      <x:c r="AB26" s="3" t="str">
        <x:v>禅茶/手作/亲子可选</x:v>
      </x:c>
      <x:c r="AC26" s="40" t="n">
        <x:f>IF(ISBLANK(V26),"",ROUNDUP(V26*1.3,0))</x:f>
        <x:v>77</x:v>
      </x:c>
      <x:c r="AD26" s="40" t="n">
        <x:f>IF(ISBLANK(W26),"",ROUNDUP(W26*1.3,0))</x:f>
        <x:v>77</x:v>
      </x:c>
      <x:c r="AE26" s="40" t="n">
        <x:v>1.3</x:v>
      </x:c>
    </x:row>
    <x:row r="27" ht="17">
      <x:c r="A27" s="3" t="str">
        <x:v>POI026</x:v>
      </x:c>
      <x:c r="B27" s="3" t="str">
        <x:v>旅游</x:v>
      </x:c>
      <x:c r="C27" s="3" t="str">
        <x:v>体验</x:v>
      </x:c>
      <x:c r="D27" s="3" t="str">
        <x:v>杭州</x:v>
      </x:c>
      <x:c r="E27" s="3" t="str">
        <x:v>良渚遗址公园作坊区｜手作体验</x:v>
      </x:c>
      <x:c r="F27" s="3" t="str">
        <x:v>25</x:v>
      </x:c>
      <x:c r="G27" s="3" t="str">
        <x:v>良渚文化线</x:v>
      </x:c>
      <x:c r="H27" s="3" t="str">
        <x:v>通用</x:v>
      </x:c>
      <x:c r="I27" s="3" t="str">
        <x:v>体验</x:v>
      </x:c>
      <x:c r="J27" s="3" t="str">
        <x:v>休闲</x:v>
      </x:c>
      <x:c r="K27" s="3" t="str">
        <x:v>1.5小时</x:v>
      </x:c>
      <x:c r="L27" s="11" t="n">
        <x:v>1.5</x:v>
      </x:c>
      <x:c r="M27" s="3" t="str">
        <x:v>1-2小时</x:v>
      </x:c>
      <x:c r="N27" s="12" t="n">
        <x:v>0.19</x:v>
      </x:c>
      <x:c r="O27" s="3" t="str">
        <x:v>25</x:v>
      </x:c>
      <x:c r="P27" s="3" t="str">
        <x:v>25</x:v>
      </x:c>
      <x:c r="Q27" s="3" t="str">
        <x:v>25</x:v>
      </x:c>
      <x:c r="R27" s="3" t="str">
        <x:v>区间价/多规格</x:v>
      </x:c>
      <x:c r="S27" s="3" t="str">
        <x:v>成本区间30-100/元/人；默认成本100/元/人；默认售价130/元/人</x:v>
      </x:c>
      <x:c r="T27" s="38" t="n">
        <x:v>100</x:v>
      </x:c>
      <x:c r="U27" s="38" t="n">
        <x:f>IF(ISBLANK(T27),"",ROUNDUP(T27*1.3,0))</x:f>
        <x:v>130</x:v>
      </x:c>
      <x:c r="V27" s="38" t="n">
        <x:v>30</x:v>
      </x:c>
      <x:c r="W27" s="38" t="n">
        <x:v>100</x:v>
      </x:c>
      <x:c r="X27" s="3" t="str">
        <x:v>元/人</x:v>
      </x:c>
      <x:c r="Y27" s="3" t="str">
        <x:v>未在价格PDF中出现</x:v>
      </x:c>
      <x:c r="Z27" s="3" t="str">
        <x:v>源点位表</x:v>
      </x:c>
      <x:c r="AA27" s="3" t="str">
        <x:v>未在价格PDF中出现</x:v>
      </x:c>
      <x:c r="AB27" s="3" t="str">
        <x:v>良渚/手作/文化体验</x:v>
      </x:c>
      <x:c r="AC27" s="40" t="n">
        <x:f>IF(ISBLANK(V27),"",ROUNDUP(V27*1.3,0))</x:f>
        <x:v>39</x:v>
      </x:c>
      <x:c r="AD27" s="40" t="n">
        <x:f>IF(ISBLANK(W27),"",ROUNDUP(W27*1.3,0))</x:f>
        <x:v>130</x:v>
      </x:c>
      <x:c r="AE27" s="40" t="n">
        <x:v>1.3</x:v>
      </x:c>
    </x:row>
    <x:row r="28" ht="17">
      <x:c r="A28" s="3" t="str">
        <x:v>POI027</x:v>
      </x:c>
      <x:c r="B28" s="3" t="str">
        <x:v>旅游</x:v>
      </x:c>
      <x:c r="C28" s="3" t="str">
        <x:v>科技</x:v>
      </x:c>
      <x:c r="D28" s="3" t="str">
        <x:v>杭州</x:v>
      </x:c>
      <x:c r="E28" s="3" t="str">
        <x:v>阿里巴巴西溪园区参访</x:v>
      </x:c>
      <x:c r="F28" s="3" t="str">
        <x:v>25</x:v>
      </x:c>
      <x:c r="G28" s="3" t="str">
        <x:v>名企科创之旅</x:v>
      </x:c>
      <x:c r="H28" s="3" t="str">
        <x:v>通用</x:v>
      </x:c>
      <x:c r="I28" s="3" t="str">
        <x:v>科技</x:v>
      </x:c>
      <x:c r="J28" s="3" t="str">
        <x:v>适中</x:v>
      </x:c>
      <x:c r="K28" s="3" t="str">
        <x:v>2.5小时</x:v>
      </x:c>
      <x:c r="L28" s="11" t="n">
        <x:v>2.5</x:v>
      </x:c>
      <x:c r="M28" s="3" t="str">
        <x:v>2-4小时</x:v>
      </x:c>
      <x:c r="N28" s="12" t="n">
        <x:v>0.31</x:v>
      </x:c>
      <x:c r="O28" s="3" t="str">
        <x:v>25</x:v>
      </x:c>
      <x:c r="P28" s="3" t="str">
        <x:v>25</x:v>
      </x:c>
      <x:c r="Q28" s="3" t="str">
        <x:v>25</x:v>
      </x:c>
      <x:c r="R28" s="3" t="str">
        <x:v>已补充</x:v>
      </x:c>
      <x:c r="S28" s="3" t="str">
        <x:v>成本1500/元/人；售价1950/元/人</x:v>
      </x:c>
      <x:c r="T28" s="38" t="n">
        <x:v>1500</x:v>
      </x:c>
      <x:c r="U28" s="38" t="n">
        <x:f>IF(ISBLANK(T28),"",ROUNDUP(T28*1.3,0))</x:f>
        <x:v>1950</x:v>
      </x:c>
      <x:c r="V28" s="38"/>
      <x:c r="W28" s="38"/>
      <x:c r="X28" s="3" t="str">
        <x:v>元/人</x:v>
      </x:c>
      <x:c r="Y28" s="3" t="str">
        <x:v>企业参访通常涉及预约与接待标准</x:v>
      </x:c>
      <x:c r="Z28" s="3" t="str">
        <x:v>源点位表</x:v>
      </x:c>
      <x:c r="AA28" s="3" t="str">
        <x:v>企业参访通常涉及预约与接待标准</x:v>
      </x:c>
      <x:c r="AB28" s="3" t="str">
        <x:v>科技/企业参访/商务</x:v>
      </x:c>
      <x:c r="AC28" s="40" t="str">
        <x:f>IF(ISBLANK(V28),"",ROUNDUP(V28*1.3,0))</x:f>
      </x:c>
      <x:c r="AD28" s="40" t="str">
        <x:f>IF(ISBLANK(W28),"",ROUNDUP(W28*1.3,0))</x:f>
      </x:c>
      <x:c r="AE28" s="40" t="n">
        <x:v>1.3</x:v>
      </x:c>
    </x:row>
    <x:row r="29" ht="17">
      <x:c r="A29" s="3" t="str">
        <x:v>POI028</x:v>
      </x:c>
      <x:c r="B29" s="3" t="str">
        <x:v>旅游</x:v>
      </x:c>
      <x:c r="C29" s="3" t="str">
        <x:v>科技</x:v>
      </x:c>
      <x:c r="D29" s="3" t="str">
        <x:v>杭州</x:v>
      </x:c>
      <x:c r="E29" s="3" t="str">
        <x:v>吉利汽车总部体验馆</x:v>
      </x:c>
      <x:c r="F29" s="3" t="str">
        <x:v>25</x:v>
      </x:c>
      <x:c r="G29" s="3" t="str">
        <x:v>名企科创之旅</x:v>
      </x:c>
      <x:c r="H29" s="3" t="str">
        <x:v>通用</x:v>
      </x:c>
      <x:c r="I29" s="3" t="str">
        <x:v>科技</x:v>
      </x:c>
      <x:c r="J29" s="3" t="str">
        <x:v>休闲</x:v>
      </x:c>
      <x:c r="K29" s="3" t="str">
        <x:v>1.5小时</x:v>
      </x:c>
      <x:c r="L29" s="11" t="n">
        <x:v>1.5</x:v>
      </x:c>
      <x:c r="M29" s="3" t="str">
        <x:v>1-2小时</x:v>
      </x:c>
      <x:c r="N29" s="12" t="n">
        <x:v>0.19</x:v>
      </x:c>
      <x:c r="O29" s="3" t="str">
        <x:v>25</x:v>
      </x:c>
      <x:c r="P29" s="3" t="str">
        <x:v>25</x:v>
      </x:c>
      <x:c r="Q29" s="3" t="str">
        <x:v>25</x:v>
      </x:c>
      <x:c r="R29" s="3" t="str">
        <x:v>已补充</x:v>
      </x:c>
      <x:c r="S29" s="3" t="str">
        <x:v>成本1500/元/人；售价1950/元/人</x:v>
      </x:c>
      <x:c r="T29" s="38" t="n">
        <x:v>1500</x:v>
      </x:c>
      <x:c r="U29" s="38" t="n">
        <x:f>IF(ISBLANK(T29),"",ROUNDUP(T29*1.3,0))</x:f>
        <x:v>1950</x:v>
      </x:c>
      <x:c r="V29" s="38"/>
      <x:c r="W29" s="38"/>
      <x:c r="X29" s="3" t="str">
        <x:v>元/人</x:v>
      </x:c>
      <x:c r="Y29" s="3" t="str">
        <x:v>企业参访通常涉及预约与接待标准</x:v>
      </x:c>
      <x:c r="Z29" s="3" t="str">
        <x:v>源点位表</x:v>
      </x:c>
      <x:c r="AA29" s="3" t="str">
        <x:v>企业参访通常涉及预约与接待标准</x:v>
      </x:c>
      <x:c r="AB29" s="3" t="str">
        <x:v>科技/企业参访/新能源</x:v>
      </x:c>
      <x:c r="AC29" s="40" t="str">
        <x:f>IF(ISBLANK(V29),"",ROUNDUP(V29*1.3,0))</x:f>
      </x:c>
      <x:c r="AD29" s="40" t="str">
        <x:f>IF(ISBLANK(W29),"",ROUNDUP(W29*1.3,0))</x:f>
      </x:c>
      <x:c r="AE29" s="40" t="n">
        <x:v>1.3</x:v>
      </x:c>
    </x:row>
    <x:row r="30" ht="17">
      <x:c r="A30" s="3" t="str">
        <x:v>POI029</x:v>
      </x:c>
      <x:c r="B30" s="3" t="str">
        <x:v>旅游</x:v>
      </x:c>
      <x:c r="C30" s="3" t="str">
        <x:v>科技</x:v>
      </x:c>
      <x:c r="D30" s="3" t="str">
        <x:v>杭州</x:v>
      </x:c>
      <x:c r="E30" s="3" t="str">
        <x:v>宇树科技机器人展示</x:v>
      </x:c>
      <x:c r="F30" s="3" t="str">
        <x:v>25</x:v>
      </x:c>
      <x:c r="G30" s="3" t="str">
        <x:v>名企科创之旅</x:v>
      </x:c>
      <x:c r="H30" s="3" t="str">
        <x:v>通用</x:v>
      </x:c>
      <x:c r="I30" s="3" t="str">
        <x:v>科技</x:v>
      </x:c>
      <x:c r="J30" s="3" t="str">
        <x:v>休闲</x:v>
      </x:c>
      <x:c r="K30" s="3" t="str">
        <x:v>1小时</x:v>
      </x:c>
      <x:c r="L30" s="11" t="n">
        <x:v>1</x:v>
      </x:c>
      <x:c r="M30" s="3" t="str">
        <x:v>0-1小时</x:v>
      </x:c>
      <x:c r="N30" s="12" t="n">
        <x:v>0.12</x:v>
      </x:c>
      <x:c r="O30" s="3" t="str">
        <x:v>25</x:v>
      </x:c>
      <x:c r="P30" s="3" t="str">
        <x:v>25</x:v>
      </x:c>
      <x:c r="Q30" s="3" t="str">
        <x:v>25</x:v>
      </x:c>
      <x:c r="R30" s="3" t="str">
        <x:v>已补充</x:v>
      </x:c>
      <x:c r="S30" s="3" t="str">
        <x:v>成本1500/元/人；售价1950/元/人</x:v>
      </x:c>
      <x:c r="T30" s="38" t="n">
        <x:v>1500</x:v>
      </x:c>
      <x:c r="U30" s="38" t="n">
        <x:f>IF(ISBLANK(T30),"",ROUNDUP(T30*1.3,0))</x:f>
        <x:v>1950</x:v>
      </x:c>
      <x:c r="V30" s="38"/>
      <x:c r="W30" s="38"/>
      <x:c r="X30" s="3" t="str">
        <x:v>元/人</x:v>
      </x:c>
      <x:c r="Y30" s="3" t="str">
        <x:v>企业参访通常涉及预约与接待标准</x:v>
      </x:c>
      <x:c r="Z30" s="3" t="str">
        <x:v>源点位表</x:v>
      </x:c>
      <x:c r="AA30" s="3" t="str">
        <x:v>企业参访通常涉及预约与接待标准</x:v>
      </x:c>
      <x:c r="AB30" s="3" t="str">
        <x:v>科技/机器人/企业参访</x:v>
      </x:c>
      <x:c r="AC30" s="40" t="str">
        <x:f>IF(ISBLANK(V30),"",ROUNDUP(V30*1.3,0))</x:f>
      </x:c>
      <x:c r="AD30" s="40" t="str">
        <x:f>IF(ISBLANK(W30),"",ROUNDUP(W30*1.3,0))</x:f>
      </x:c>
      <x:c r="AE30" s="40" t="n">
        <x:v>1.3</x:v>
      </x:c>
    </x:row>
    <x:row r="31" ht="17">
      <x:c r="A31" s="3" t="str">
        <x:v>POI030</x:v>
      </x:c>
      <x:c r="B31" s="3" t="str">
        <x:v>旅游</x:v>
      </x:c>
      <x:c r="C31" s="3" t="str">
        <x:v>科技</x:v>
      </x:c>
      <x:c r="D31" s="3" t="str">
        <x:v>杭州</x:v>
      </x:c>
      <x:c r="E31" s="3" t="str">
        <x:v>海康威视展示中心参观</x:v>
      </x:c>
      <x:c r="F31" s="3" t="str">
        <x:v>25</x:v>
      </x:c>
      <x:c r="G31" s="3" t="str">
        <x:v>名企科创之旅</x:v>
      </x:c>
      <x:c r="H31" s="3" t="str">
        <x:v>通用</x:v>
      </x:c>
      <x:c r="I31" s="3" t="str">
        <x:v>科技</x:v>
      </x:c>
      <x:c r="J31" s="3" t="str">
        <x:v>休闲</x:v>
      </x:c>
      <x:c r="K31" s="3" t="str">
        <x:v>1.5小时</x:v>
      </x:c>
      <x:c r="L31" s="11" t="n">
        <x:v>1.5</x:v>
      </x:c>
      <x:c r="M31" s="3" t="str">
        <x:v>1-2小时</x:v>
      </x:c>
      <x:c r="N31" s="12" t="n">
        <x:v>0.19</x:v>
      </x:c>
      <x:c r="O31" s="3" t="str">
        <x:v>25</x:v>
      </x:c>
      <x:c r="P31" s="3" t="str">
        <x:v>25</x:v>
      </x:c>
      <x:c r="Q31" s="3" t="str">
        <x:v>25</x:v>
      </x:c>
      <x:c r="R31" s="3" t="str">
        <x:v>已补充</x:v>
      </x:c>
      <x:c r="S31" s="3" t="str">
        <x:v>成本1500/元/人；售价1950/元/人</x:v>
      </x:c>
      <x:c r="T31" s="38" t="n">
        <x:v>1500</x:v>
      </x:c>
      <x:c r="U31" s="38" t="n">
        <x:f>IF(ISBLANK(T31),"",ROUNDUP(T31*1.3,0))</x:f>
        <x:v>1950</x:v>
      </x:c>
      <x:c r="V31" s="38"/>
      <x:c r="W31" s="38"/>
      <x:c r="X31" s="3" t="str">
        <x:v>元/人</x:v>
      </x:c>
      <x:c r="Y31" s="3" t="str">
        <x:v>企业参访通常涉及预约与接待标准</x:v>
      </x:c>
      <x:c r="Z31" s="3" t="str">
        <x:v>源点位表</x:v>
      </x:c>
      <x:c r="AA31" s="3" t="str">
        <x:v>企业参访通常涉及预约与接待标准</x:v>
      </x:c>
      <x:c r="AB31" s="3" t="str">
        <x:v>科技/AI视觉/企业参访</x:v>
      </x:c>
      <x:c r="AC31" s="40" t="str">
        <x:f>IF(ISBLANK(V31),"",ROUNDUP(V31*1.3,0))</x:f>
      </x:c>
      <x:c r="AD31" s="40" t="str">
        <x:f>IF(ISBLANK(W31),"",ROUNDUP(W31*1.3,0))</x:f>
      </x:c>
      <x:c r="AE31" s="40" t="n">
        <x:v>1.3</x:v>
      </x:c>
    </x:row>
    <x:row r="32" ht="17">
      <x:c r="A32" s="3" t="str">
        <x:v>POI031</x:v>
      </x:c>
      <x:c r="B32" s="3" t="str">
        <x:v>旅游</x:v>
      </x:c>
      <x:c r="C32" s="3" t="str">
        <x:v>科技</x:v>
      </x:c>
      <x:c r="D32" s="3" t="str">
        <x:v>杭州</x:v>
      </x:c>
      <x:c r="E32" s="3" t="str">
        <x:v>文三数字生活街区漫游</x:v>
      </x:c>
      <x:c r="F32" s="3" t="str">
        <x:v>25</x:v>
      </x:c>
      <x:c r="G32" s="3" t="str">
        <x:v>数字生活街区线</x:v>
      </x:c>
      <x:c r="H32" s="3" t="str">
        <x:v>通用</x:v>
      </x:c>
      <x:c r="I32" s="3" t="str">
        <x:v>科技</x:v>
      </x:c>
      <x:c r="J32" s="3" t="str">
        <x:v>休闲</x:v>
      </x:c>
      <x:c r="K32" s="3" t="str">
        <x:v>1.5小时</x:v>
      </x:c>
      <x:c r="L32" s="11" t="n">
        <x:v>1.5</x:v>
      </x:c>
      <x:c r="M32" s="3" t="str">
        <x:v>1-2小时</x:v>
      </x:c>
      <x:c r="N32" s="12" t="n">
        <x:v>0.19</x:v>
      </x:c>
      <x:c r="O32" s="3" t="str">
        <x:v>25</x:v>
      </x:c>
      <x:c r="P32" s="3" t="str">
        <x:v>25</x:v>
      </x:c>
      <x:c r="Q32" s="3" t="str">
        <x:v>25</x:v>
      </x:c>
      <x:c r="R32" s="3" t="str">
        <x:v>区间价/多规格</x:v>
      </x:c>
      <x:c r="S32" s="3" t="str">
        <x:v>成本区间0-300/元/人；默认成本300/元/人；默认售价390/元/人</x:v>
      </x:c>
      <x:c r="T32" s="38" t="n">
        <x:v>300</x:v>
      </x:c>
      <x:c r="U32" s="38" t="n">
        <x:f>IF(ISBLANK(T32),"",ROUNDUP(T32*1.3,0))</x:f>
        <x:v>390</x:v>
      </x:c>
      <x:c r="V32" s="38" t="n">
        <x:v>0</x:v>
      </x:c>
      <x:c r="W32" s="38" t="n">
        <x:v>300</x:v>
      </x:c>
      <x:c r="X32" s="3" t="str">
        <x:v>元/人</x:v>
      </x:c>
      <x:c r="Y32" s="3" t="str">
        <x:v>未在价格PDF中出现</x:v>
      </x:c>
      <x:c r="Z32" s="3" t="str">
        <x:v>源点位表</x:v>
      </x:c>
      <x:c r="AA32" s="3" t="str">
        <x:v>未在价格PDF中出现</x:v>
      </x:c>
      <x:c r="AB32" s="3" t="str">
        <x:v>数字生活/科技城市</x:v>
      </x:c>
      <x:c r="AC32" s="40" t="n">
        <x:f>IF(ISBLANK(V32),"",ROUNDUP(V32*1.3,0))</x:f>
        <x:v>0</x:v>
      </x:c>
      <x:c r="AD32" s="40" t="n">
        <x:f>IF(ISBLANK(W32),"",ROUNDUP(W32*1.3,0))</x:f>
        <x:v>390</x:v>
      </x:c>
      <x:c r="AE32" s="40" t="n">
        <x:v>1.3</x:v>
      </x:c>
    </x:row>
    <x:row r="33" ht="17">
      <x:c r="A33" s="3" t="str">
        <x:v>POI032</x:v>
      </x:c>
      <x:c r="B33" s="3" t="str">
        <x:v>旅游</x:v>
      </x:c>
      <x:c r="C33" s="3" t="str">
        <x:v>科技</x:v>
      </x:c>
      <x:c r="D33" s="3" t="str">
        <x:v>杭州</x:v>
      </x:c>
      <x:c r="E33" s="3" t="str">
        <x:v>M511光影汇沉浸体验</x:v>
      </x:c>
      <x:c r="F33" s="3" t="str">
        <x:v>25</x:v>
      </x:c>
      <x:c r="G33" s="3" t="str">
        <x:v>数字生活街区线</x:v>
      </x:c>
      <x:c r="H33" s="3" t="str">
        <x:v>通用</x:v>
      </x:c>
      <x:c r="I33" s="3" t="str">
        <x:v>科技</x:v>
      </x:c>
      <x:c r="J33" s="3" t="str">
        <x:v>休闲</x:v>
      </x:c>
      <x:c r="K33" s="3" t="str">
        <x:v>1.5小时</x:v>
      </x:c>
      <x:c r="L33" s="11" t="n">
        <x:v>1.5</x:v>
      </x:c>
      <x:c r="M33" s="3" t="str">
        <x:v>1-2小时</x:v>
      </x:c>
      <x:c r="N33" s="12" t="n">
        <x:v>0.19</x:v>
      </x:c>
      <x:c r="O33" s="3" t="str">
        <x:v>25</x:v>
      </x:c>
      <x:c r="P33" s="3" t="str">
        <x:v>25</x:v>
      </x:c>
      <x:c r="Q33" s="3" t="str">
        <x:v>25</x:v>
      </x:c>
      <x:c r="R33" s="3" t="str">
        <x:v>区间价/多规格</x:v>
      </x:c>
      <x:c r="S33" s="3" t="str">
        <x:v>成本区间138-400/元/人；默认成本198/元/人；默认售价258/元/人</x:v>
      </x:c>
      <x:c r="T33" s="38" t="n">
        <x:v>198</x:v>
      </x:c>
      <x:c r="U33" s="38" t="n">
        <x:f>IF(ISBLANK(T33),"",ROUNDUP(T33*1.3,0))</x:f>
        <x:v>258</x:v>
      </x:c>
      <x:c r="V33" s="38" t="n">
        <x:v>138</x:v>
      </x:c>
      <x:c r="W33" s="38" t="n">
        <x:v>400</x:v>
      </x:c>
      <x:c r="X33" s="3" t="str">
        <x:v>元/人</x:v>
      </x:c>
      <x:c r="Y33" s="3" t="str">
        <x:v>未在价格PDF中出现</x:v>
      </x:c>
      <x:c r="Z33" s="3" t="str">
        <x:v>源点位表</x:v>
      </x:c>
      <x:c r="AA33" s="3" t="str">
        <x:v>未在价格PDF中出现</x:v>
      </x:c>
      <x:c r="AB33" s="3" t="str">
        <x:v>科技艺术/沉浸式</x:v>
      </x:c>
      <x:c r="AC33" s="40" t="n">
        <x:f>IF(ISBLANK(V33),"",ROUNDUP(V33*1.3,0))</x:f>
        <x:v>180</x:v>
      </x:c>
      <x:c r="AD33" s="40" t="n">
        <x:f>IF(ISBLANK(W33),"",ROUNDUP(W33*1.3,0))</x:f>
        <x:v>520</x:v>
      </x:c>
      <x:c r="AE33" s="40" t="n">
        <x:v>1.3</x:v>
      </x:c>
    </x:row>
    <x:row r="34" ht="17">
      <x:c r="A34" s="3" t="str">
        <x:v>POI033</x:v>
      </x:c>
      <x:c r="B34" s="3" t="str">
        <x:v>旅游</x:v>
      </x:c>
      <x:c r="C34" s="3" t="str">
        <x:v>科技</x:v>
      </x:c>
      <x:c r="D34" s="3" t="str">
        <x:v>杭州</x:v>
      </x:c>
      <x:c r="E34" s="3" t="str">
        <x:v>颐高数字科技展</x:v>
      </x:c>
      <x:c r="F34" s="3" t="str">
        <x:v>25</x:v>
      </x:c>
      <x:c r="G34" s="3" t="str">
        <x:v>数字生活街区线</x:v>
      </x:c>
      <x:c r="H34" s="3" t="str">
        <x:v>通用</x:v>
      </x:c>
      <x:c r="I34" s="3" t="str">
        <x:v>科技</x:v>
      </x:c>
      <x:c r="J34" s="3" t="str">
        <x:v>休闲</x:v>
      </x:c>
      <x:c r="K34" s="3" t="str">
        <x:v>1.5小时</x:v>
      </x:c>
      <x:c r="L34" s="11" t="n">
        <x:v>1.5</x:v>
      </x:c>
      <x:c r="M34" s="3" t="str">
        <x:v>1-2小时</x:v>
      </x:c>
      <x:c r="N34" s="12" t="n">
        <x:v>0.19</x:v>
      </x:c>
      <x:c r="O34" s="3" t="str">
        <x:v>25</x:v>
      </x:c>
      <x:c r="P34" s="3" t="str">
        <x:v>25</x:v>
      </x:c>
      <x:c r="Q34" s="3" t="str">
        <x:v>25</x:v>
      </x:c>
      <x:c r="R34" s="3" t="str">
        <x:v>已补充</x:v>
      </x:c>
      <x:c r="S34" s="3" t="str">
        <x:v>成本168/元/人；售价219/元/人</x:v>
      </x:c>
      <x:c r="T34" s="38" t="n">
        <x:v>168</x:v>
      </x:c>
      <x:c r="U34" s="38" t="n">
        <x:f>IF(ISBLANK(T34),"",ROUNDUP(T34*1.3,0))</x:f>
        <x:v>219</x:v>
      </x:c>
      <x:c r="V34" s="38"/>
      <x:c r="W34" s="38"/>
      <x:c r="X34" s="3" t="str">
        <x:v>元/人</x:v>
      </x:c>
      <x:c r="Y34" s="3" t="str">
        <x:v>未在价格PDF中出现</x:v>
      </x:c>
      <x:c r="Z34" s="3" t="str">
        <x:v>源点位表</x:v>
      </x:c>
      <x:c r="AA34" s="3" t="str">
        <x:v>未在价格PDF中出现</x:v>
      </x:c>
      <x:c r="AB34" s="3" t="str">
        <x:v>科技/数字展陈</x:v>
      </x:c>
      <x:c r="AC34" s="40" t="str">
        <x:f>IF(ISBLANK(V34),"",ROUNDUP(V34*1.3,0))</x:f>
      </x:c>
      <x:c r="AD34" s="40" t="str">
        <x:f>IF(ISBLANK(W34),"",ROUNDUP(W34*1.3,0))</x:f>
      </x:c>
      <x:c r="AE34" s="40" t="n">
        <x:v>1.3</x:v>
      </x:c>
    </x:row>
    <x:row r="35" ht="17">
      <x:c r="A35" s="3" t="str">
        <x:v>POI034</x:v>
      </x:c>
      <x:c r="B35" s="3" t="str">
        <x:v>旅游</x:v>
      </x:c>
      <x:c r="C35" s="3" t="str">
        <x:v>演出</x:v>
      </x:c>
      <x:c r="D35" s="3" t="str">
        <x:v>杭州</x:v>
      </x:c>
      <x:c r="E35" s="3" t="str">
        <x:v>钱江新城灯光秀夜游</x:v>
      </x:c>
      <x:c r="F35" s="3" t="str">
        <x:v>25</x:v>
      </x:c>
      <x:c r="G35" s="3" t="str">
        <x:v>数字生活街区/夜游</x:v>
      </x:c>
      <x:c r="H35" s="3" t="str">
        <x:v>通用</x:v>
      </x:c>
      <x:c r="I35" s="3" t="str">
        <x:v>演出</x:v>
      </x:c>
      <x:c r="J35" s="3" t="str">
        <x:v>休闲</x:v>
      </x:c>
      <x:c r="K35" s="3" t="str">
        <x:v>0.5小时</x:v>
      </x:c>
      <x:c r="L35" s="11" t="n">
        <x:v>0.5</x:v>
      </x:c>
      <x:c r="M35" s="3" t="str">
        <x:v>0-1小时</x:v>
      </x:c>
      <x:c r="N35" s="12" t="n">
        <x:v>0.06</x:v>
      </x:c>
      <x:c r="O35" s="3" t="str">
        <x:v>25</x:v>
      </x:c>
      <x:c r="P35" s="3" t="str">
        <x:v>25</x:v>
      </x:c>
      <x:c r="Q35" s="3" t="str">
        <x:v>25</x:v>
      </x:c>
      <x:c r="R35" s="3" t="str">
        <x:v>部分补充</x:v>
      </x:c>
      <x:c r="S35" s="3" t="str">
        <x:v>基础成本0/元/人；增值项目另计</x:v>
      </x:c>
      <x:c r="T35" s="38" t="n">
        <x:v>0</x:v>
      </x:c>
      <x:c r="U35" s="38" t="n">
        <x:f>IF(ISBLANK(T35),"",ROUNDUP(T35*1.3,0))</x:f>
        <x:v>0</x:v>
      </x:c>
      <x:c r="V35" s="38" t="n">
        <x:v>0</x:v>
      </x:c>
      <x:c r="W35" s="38"/>
      <x:c r="X35" s="3" t="str">
        <x:v>元/人</x:v>
      </x:c>
      <x:c r="Y35" s="3" t="str">
        <x:v>灯光秀本身可免费观赏；若含游船需补价</x:v>
      </x:c>
      <x:c r="Z35" s="3" t="str">
        <x:v>源点位表</x:v>
      </x:c>
      <x:c r="AA35" s="3" t="str">
        <x:v>灯光秀本身可免费观赏；若含游船需补价</x:v>
      </x:c>
      <x:c r="AB35" s="3" t="str">
        <x:v>夜游/城市风景</x:v>
      </x:c>
      <x:c r="AC35" s="40" t="n">
        <x:f>IF(ISBLANK(V35),"",ROUNDUP(V35*1.3,0))</x:f>
        <x:v>0</x:v>
      </x:c>
      <x:c r="AD35" s="40" t="str">
        <x:f>IF(ISBLANK(W35),"",ROUNDUP(W35*1.3,0))</x:f>
      </x:c>
      <x:c r="AE35" s="40" t="n">
        <x:v>1.3</x:v>
      </x:c>
    </x:row>
    <x:row r="36" ht="17">
      <x:c r="A36" s="3" t="str">
        <x:v>POI035</x:v>
      </x:c>
      <x:c r="B36" s="3" t="str">
        <x:v>旅游</x:v>
      </x:c>
      <x:c r="C36" s="3" t="str">
        <x:v>演出</x:v>
      </x:c>
      <x:c r="D36" s="3" t="str">
        <x:v>杭州</x:v>
      </x:c>
      <x:c r="E36" s="3" t="str">
        <x:v>宫宴晚餐+演出</x:v>
      </x:c>
      <x:c r="F36" s="3" t="str">
        <x:v>25</x:v>
      </x:c>
      <x:c r="G36" s="3" t="str">
        <x:v>宋韵雅集</x:v>
      </x:c>
      <x:c r="H36" s="3" t="str">
        <x:v>通用</x:v>
      </x:c>
      <x:c r="I36" s="3" t="str">
        <x:v>演出</x:v>
      </x:c>
      <x:c r="J36" s="3" t="str">
        <x:v>适中</x:v>
      </x:c>
      <x:c r="K36" s="3" t="str">
        <x:v>2小时</x:v>
      </x:c>
      <x:c r="L36" s="11" t="n">
        <x:v>2</x:v>
      </x:c>
      <x:c r="M36" s="3" t="str">
        <x:v>1-2小时</x:v>
      </x:c>
      <x:c r="N36" s="12" t="n">
        <x:v>0.25</x:v>
      </x:c>
      <x:c r="O36" s="3" t="str">
        <x:v>25</x:v>
      </x:c>
      <x:c r="P36" s="3" t="str">
        <x:v>25</x:v>
      </x:c>
      <x:c r="Q36" s="3" t="str">
        <x:v>25</x:v>
      </x:c>
      <x:c r="R36" s="3" t="str">
        <x:v>区间价/多规格</x:v>
      </x:c>
      <x:c r="S36" s="3" t="str">
        <x:v>成人598；儿童298</x:v>
      </x:c>
      <x:c r="T36" s="38" t="n">
        <x:v>598</x:v>
      </x:c>
      <x:c r="U36" s="38" t="n">
        <x:f>IF(ISBLANK(T36),"",ROUNDUP(T36*1.3,0))</x:f>
        <x:v>778</x:v>
      </x:c>
      <x:c r="V36" s="38" t="n">
        <x:v>298</x:v>
      </x:c>
      <x:c r="W36" s="38" t="n">
        <x:v>598</x:v>
      </x:c>
      <x:c r="X36" s="3" t="str">
        <x:v>元/人</x:v>
      </x:c>
      <x:c r="Y36" s="3" t="str">
        <x:v>宋韵雅集晚餐+演出可选</x:v>
      </x:c>
      <x:c r="Z36" s="3" t="str">
        <x:v>康养文旅 p12</x:v>
      </x:c>
      <x:c r="AA36" s="3" t="str">
        <x:v>宋韵雅集晚餐+演出可选</x:v>
      </x:c>
      <x:c r="AB36" s="3" t="str">
        <x:v>宋韵/晚宴/演出</x:v>
      </x:c>
      <x:c r="AC36" s="40" t="n">
        <x:f>IF(ISBLANK(V36),"",ROUNDUP(V36*1.3,0))</x:f>
        <x:v>388</x:v>
      </x:c>
      <x:c r="AD36" s="40" t="n">
        <x:f>IF(ISBLANK(W36),"",ROUNDUP(W36*1.3,0))</x:f>
        <x:v>778</x:v>
      </x:c>
      <x:c r="AE36" s="40" t="n">
        <x:v>1.3</x:v>
      </x:c>
    </x:row>
    <x:row r="37" ht="17">
      <x:c r="A37" s="3" t="str">
        <x:v>POI036</x:v>
      </x:c>
      <x:c r="B37" s="3" t="str">
        <x:v>旅游</x:v>
      </x:c>
      <x:c r="C37" s="3" t="str">
        <x:v>演出</x:v>
      </x:c>
      <x:c r="D37" s="3" t="str">
        <x:v>杭州</x:v>
      </x:c>
      <x:c r="E37" s="3" t="str">
        <x:v>如梦上塘演出</x:v>
      </x:c>
      <x:c r="F37" s="3" t="str">
        <x:v>25</x:v>
      </x:c>
      <x:c r="G37" s="3" t="str">
        <x:v>西湖秘境/运河夜游</x:v>
      </x:c>
      <x:c r="H37" s="3" t="str">
        <x:v>通用</x:v>
      </x:c>
      <x:c r="I37" s="3" t="str">
        <x:v>演出</x:v>
      </x:c>
      <x:c r="J37" s="3" t="str">
        <x:v>休闲</x:v>
      </x:c>
      <x:c r="K37" s="3" t="str">
        <x:v>1小时</x:v>
      </x:c>
      <x:c r="L37" s="11" t="n">
        <x:v>1</x:v>
      </x:c>
      <x:c r="M37" s="3" t="str">
        <x:v>0-1小时</x:v>
      </x:c>
      <x:c r="N37" s="12" t="n">
        <x:v>0.12</x:v>
      </x:c>
      <x:c r="O37" s="3" t="str">
        <x:v>25</x:v>
      </x:c>
      <x:c r="P37" s="3" t="str">
        <x:v>25</x:v>
      </x:c>
      <x:c r="Q37" s="3" t="str">
        <x:v>25</x:v>
      </x:c>
      <x:c r="R37" s="3" t="str">
        <x:v>区间价/多规格</x:v>
      </x:c>
      <x:c r="S37" s="3" t="str">
        <x:v>成人138；儿童68</x:v>
      </x:c>
      <x:c r="T37" s="38" t="n">
        <x:v>138</x:v>
      </x:c>
      <x:c r="U37" s="38" t="n">
        <x:f>IF(ISBLANK(T37),"",ROUNDUP(T37*1.3,0))</x:f>
        <x:v>180</x:v>
      </x:c>
      <x:c r="V37" s="38" t="n">
        <x:v>68</x:v>
      </x:c>
      <x:c r="W37" s="38" t="n">
        <x:v>138</x:v>
      </x:c>
      <x:c r="X37" s="3" t="str">
        <x:v>元/人</x:v>
      </x:c>
      <x:c r="Y37" s="3" t="str">
        <x:v>运河夜游/光影秀</x:v>
      </x:c>
      <x:c r="Z37" s="3" t="str">
        <x:v>康养文旅 p9</x:v>
      </x:c>
      <x:c r="AA37" s="3" t="str">
        <x:v>运河夜游/光影秀</x:v>
      </x:c>
      <x:c r="AB37" s="3" t="str">
        <x:v>运河/夜游/演出</x:v>
      </x:c>
      <x:c r="AC37" s="40" t="n">
        <x:f>IF(ISBLANK(V37),"",ROUNDUP(V37*1.3,0))</x:f>
        <x:v>89</x:v>
      </x:c>
      <x:c r="AD37" s="40" t="n">
        <x:f>IF(ISBLANK(W37),"",ROUNDUP(W37*1.3,0))</x:f>
        <x:v>180</x:v>
      </x:c>
      <x:c r="AE37" s="40" t="n">
        <x:v>1.3</x:v>
      </x:c>
    </x:row>
    <x:row r="38" ht="34">
      <x:c r="A38" s="3" t="str">
        <x:v>POI037</x:v>
      </x:c>
      <x:c r="B38" s="3" t="str">
        <x:v>旅游</x:v>
      </x:c>
      <x:c r="C38" s="3" t="str">
        <x:v>演出</x:v>
      </x:c>
      <x:c r="D38" s="3" t="str">
        <x:v>杭州</x:v>
      </x:c>
      <x:c r="E38" s="3" t="str">
        <x:v>印象西湖演出</x:v>
      </x:c>
      <x:c r="F38" s="3" t="str">
        <x:v>25</x:v>
      </x:c>
      <x:c r="G38" s="3" t="str">
        <x:v>东方本草/龙井茶韵/筋骨调养</x:v>
      </x:c>
      <x:c r="H38" s="3" t="str">
        <x:v>通用</x:v>
      </x:c>
      <x:c r="I38" s="3" t="str">
        <x:v>演出</x:v>
      </x:c>
      <x:c r="J38" s="3" t="str">
        <x:v>休闲</x:v>
      </x:c>
      <x:c r="K38" s="3" t="str">
        <x:v>1小时</x:v>
      </x:c>
      <x:c r="L38" s="11" t="n">
        <x:v>1</x:v>
      </x:c>
      <x:c r="M38" s="3" t="str">
        <x:v>0-1小时</x:v>
      </x:c>
      <x:c r="N38" s="12" t="n">
        <x:v>0.12</x:v>
      </x:c>
      <x:c r="O38" s="3" t="str">
        <x:v>25</x:v>
      </x:c>
      <x:c r="P38" s="3" t="str">
        <x:v>25</x:v>
      </x:c>
      <x:c r="Q38" s="3" t="str">
        <x:v>25</x:v>
      </x:c>
      <x:c r="R38" s="3" t="str">
        <x:v>区间价/多规格</x:v>
      </x:c>
      <x:c r="S38" s="3" t="str">
        <x:v>普通成人350/儿童310；VIP成人450/儿童370；尊宾900</x:v>
      </x:c>
      <x:c r="T38" s="38" t="n">
        <x:v>450</x:v>
      </x:c>
      <x:c r="U38" s="38" t="n">
        <x:f>IF(ISBLANK(T38),"",ROUNDUP(T38*1.3,0))</x:f>
        <x:v>585</x:v>
      </x:c>
      <x:c r="V38" s="38" t="n">
        <x:v>310</x:v>
      </x:c>
      <x:c r="W38" s="38" t="n">
        <x:v>900</x:v>
      </x:c>
      <x:c r="X38" s="3" t="str">
        <x:v>元/人</x:v>
      </x:c>
      <x:c r="Y38" s="3" t="str">
        <x:v>数据库默认填VIP成人450，普通/尊宾按需求调整</x:v>
      </x:c>
      <x:c r="Z38" s="3" t="str">
        <x:v>康养文旅 p3,p18,p23</x:v>
      </x:c>
      <x:c r="AA38" s="3" t="str">
        <x:v>数据库默认填VIP成人450，普通/尊宾按需求调整</x:v>
      </x:c>
      <x:c r="AB38" s="3" t="str">
        <x:v>西湖/经典演出</x:v>
      </x:c>
      <x:c r="AC38" s="40" t="n">
        <x:f>IF(ISBLANK(V38),"",ROUNDUP(V38*1.3,0))</x:f>
        <x:v>403</x:v>
      </x:c>
      <x:c r="AD38" s="40" t="n">
        <x:f>IF(ISBLANK(W38),"",ROUNDUP(W38*1.3,0))</x:f>
        <x:v>1170</x:v>
      </x:c>
      <x:c r="AE38" s="40" t="n">
        <x:v>1.3</x:v>
      </x:c>
    </x:row>
    <x:row r="39" ht="17">
      <x:c r="A39" s="3" t="str">
        <x:v>POI038</x:v>
      </x:c>
      <x:c r="B39" s="3" t="str">
        <x:v>旅游</x:v>
      </x:c>
      <x:c r="C39" s="3" t="str">
        <x:v>演出</x:v>
      </x:c>
      <x:c r="D39" s="3" t="str">
        <x:v>杭州</x:v>
      </x:c>
      <x:c r="E39" s="3" t="str">
        <x:v>德寿宫《德寿夜宴》</x:v>
      </x:c>
      <x:c r="F39" s="3" t="str">
        <x:v>25</x:v>
      </x:c>
      <x:c r="G39" s="3" t="str">
        <x:v>宋韵雅集</x:v>
      </x:c>
      <x:c r="H39" s="3" t="str">
        <x:v>通用</x:v>
      </x:c>
      <x:c r="I39" s="3" t="str">
        <x:v>演出</x:v>
      </x:c>
      <x:c r="J39" s="3" t="str">
        <x:v>适中</x:v>
      </x:c>
      <x:c r="K39" s="3" t="str">
        <x:v>2小时</x:v>
      </x:c>
      <x:c r="L39" s="11" t="n">
        <x:v>2</x:v>
      </x:c>
      <x:c r="M39" s="3" t="str">
        <x:v>1-2小时</x:v>
      </x:c>
      <x:c r="N39" s="12" t="n">
        <x:v>0.25</x:v>
      </x:c>
      <x:c r="O39" s="3" t="str">
        <x:v>25</x:v>
      </x:c>
      <x:c r="P39" s="3" t="str">
        <x:v>25</x:v>
      </x:c>
      <x:c r="Q39" s="3" t="str">
        <x:v>25</x:v>
      </x:c>
      <x:c r="R39" s="3" t="str">
        <x:v>部分补充</x:v>
      </x:c>
      <x:c r="S39" s="3" t="str">
        <x:v>参考宫宴晚餐+演出598；需确认德寿夜宴单独票价；默认售价258/元/人（成本×1.3）</x:v>
      </x:c>
      <x:c r="T39" s="38" t="n">
        <x:v>198</x:v>
      </x:c>
      <x:c r="U39" s="38" t="n">
        <x:f>IF(ISBLANK(T39),"",ROUNDUP(T39*1.3,0))</x:f>
        <x:v>258</x:v>
      </x:c>
      <x:c r="V39" s="38" t="n">
        <x:v>88</x:v>
      </x:c>
      <x:c r="W39" s="38" t="n">
        <x:v>198</x:v>
      </x:c>
      <x:c r="X39" s="3" t="str">
        <x:v>元/人</x:v>
      </x:c>
      <x:c r="Y39" s="3" t="str">
        <x:v>价格PDF未直接出现德寿夜宴，先挂靠宋韵宫宴</x:v>
      </x:c>
      <x:c r="Z39" s="3" t="str">
        <x:v>康养文旅 p12</x:v>
      </x:c>
      <x:c r="AA39" s="3" t="str">
        <x:v>价格PDF未直接出现德寿夜宴，先挂靠宋韵宫宴</x:v>
      </x:c>
      <x:c r="AB39" s="3" t="str">
        <x:v>宋韵/夜宴/演出</x:v>
      </x:c>
      <x:c r="AC39" s="40" t="n">
        <x:f>IF(ISBLANK(V39),"",ROUNDUP(V39*1.3,0))</x:f>
        <x:v>115</x:v>
      </x:c>
      <x:c r="AD39" s="40" t="n">
        <x:f>IF(ISBLANK(W39),"",ROUNDUP(W39*1.3,0))</x:f>
        <x:v>258</x:v>
      </x:c>
      <x:c r="AE39" s="40" t="n">
        <x:v>1.3</x:v>
      </x:c>
    </x:row>
    <x:row r="40" ht="17">
      <x:c r="A40" s="3" t="str">
        <x:v>POI039</x:v>
      </x:c>
      <x:c r="B40" s="3" t="str">
        <x:v>旅游</x:v>
      </x:c>
      <x:c r="C40" s="3" t="str">
        <x:v>杭州外</x:v>
      </x:c>
      <x:c r="D40" s="3" t="str">
        <x:v>上海</x:v>
      </x:c>
      <x:c r="E40" s="3" t="str">
        <x:v>豫园、城隍庙、上海老街</x:v>
      </x:c>
      <x:c r="F40" s="3" t="str">
        <x:v>25</x:v>
      </x:c>
      <x:c r="G40" s="3" t="str">
        <x:v>上海延伸</x:v>
      </x:c>
      <x:c r="H40" s="3" t="str">
        <x:v>通用</x:v>
      </x:c>
      <x:c r="I40" s="3" t="str">
        <x:v>杭州外</x:v>
      </x:c>
      <x:c r="J40" s="3" t="str">
        <x:v>适中</x:v>
      </x:c>
      <x:c r="K40" s="3" t="str">
        <x:v>2.5小时</x:v>
      </x:c>
      <x:c r="L40" s="11" t="n">
        <x:v>2.5</x:v>
      </x:c>
      <x:c r="M40" s="3" t="str">
        <x:v>2-4小时</x:v>
      </x:c>
      <x:c r="N40" s="12" t="n">
        <x:v>0.31</x:v>
      </x:c>
      <x:c r="O40" s="3" t="str">
        <x:v>25</x:v>
      </x:c>
      <x:c r="P40" s="3" t="str">
        <x:v>25</x:v>
      </x:c>
      <x:c r="Q40" s="3" t="str">
        <x:v>25</x:v>
      </x:c>
      <x:c r="R40" s="3" t="str">
        <x:v>部分补充</x:v>
      </x:c>
      <x:c r="S40" s="3" t="str">
        <x:v>基础成本0/元/人；增值项目另计</x:v>
      </x:c>
      <x:c r="T40" s="38" t="n">
        <x:v>0</x:v>
      </x:c>
      <x:c r="U40" s="38" t="n">
        <x:f>IF(ISBLANK(T40),"",ROUNDUP(T40*1.3,0))</x:f>
        <x:v>0</x:v>
      </x:c>
      <x:c r="V40" s="38" t="n">
        <x:v>0</x:v>
      </x:c>
      <x:c r="W40" s="38"/>
      <x:c r="X40" s="3" t="str">
        <x:v>元/人</x:v>
      </x:c>
      <x:c r="Y40" s="3" t="str">
        <x:v>杭州外点位需补上海本地门票/交通</x:v>
      </x:c>
      <x:c r="Z40" s="3" t="str">
        <x:v>源点位表</x:v>
      </x:c>
      <x:c r="AA40" s="3" t="str">
        <x:v>杭州外点位需补上海本地门票/交通</x:v>
      </x:c>
      <x:c r="AB40" s="3" t="str">
        <x:v>上海延伸/人文</x:v>
      </x:c>
      <x:c r="AC40" s="40" t="n">
        <x:f>IF(ISBLANK(V40),"",ROUNDUP(V40*1.3,0))</x:f>
        <x:v>0</x:v>
      </x:c>
      <x:c r="AD40" s="40" t="str">
        <x:f>IF(ISBLANK(W40),"",ROUNDUP(W40*1.3,0))</x:f>
      </x:c>
      <x:c r="AE40" s="40" t="n">
        <x:v>1.3</x:v>
      </x:c>
    </x:row>
    <x:row r="41" ht="17">
      <x:c r="A41" s="3" t="str">
        <x:v>POI040</x:v>
      </x:c>
      <x:c r="B41" s="3" t="str">
        <x:v>旅游</x:v>
      </x:c>
      <x:c r="C41" s="3" t="str">
        <x:v>杭州外</x:v>
      </x:c>
      <x:c r="D41" s="3" t="str">
        <x:v>上海</x:v>
      </x:c>
      <x:c r="E41" s="3" t="str">
        <x:v>浦东陆家嘴城市景观</x:v>
      </x:c>
      <x:c r="F41" s="3" t="str">
        <x:v>25</x:v>
      </x:c>
      <x:c r="G41" s="3" t="str">
        <x:v>上海延伸</x:v>
      </x:c>
      <x:c r="H41" s="3" t="str">
        <x:v>通用</x:v>
      </x:c>
      <x:c r="I41" s="3" t="str">
        <x:v>杭州外</x:v>
      </x:c>
      <x:c r="J41" s="3" t="str">
        <x:v>休闲</x:v>
      </x:c>
      <x:c r="K41" s="3" t="str">
        <x:v>1小时</x:v>
      </x:c>
      <x:c r="L41" s="11" t="n">
        <x:v>1</x:v>
      </x:c>
      <x:c r="M41" s="3" t="str">
        <x:v>0-1小时</x:v>
      </x:c>
      <x:c r="N41" s="12" t="n">
        <x:v>0.12</x:v>
      </x:c>
      <x:c r="O41" s="3" t="str">
        <x:v>25</x:v>
      </x:c>
      <x:c r="P41" s="3" t="str">
        <x:v>25</x:v>
      </x:c>
      <x:c r="Q41" s="3" t="str">
        <x:v>25</x:v>
      </x:c>
      <x:c r="R41" s="3" t="str">
        <x:v>部分补充</x:v>
      </x:c>
      <x:c r="S41" s="3" t="str">
        <x:v>基础成本0/元/人；增值项目另计</x:v>
      </x:c>
      <x:c r="T41" s="38" t="n">
        <x:v>0</x:v>
      </x:c>
      <x:c r="U41" s="38" t="n">
        <x:f>IF(ISBLANK(T41),"",ROUNDUP(T41*1.3,0))</x:f>
        <x:v>0</x:v>
      </x:c>
      <x:c r="V41" s="38" t="n">
        <x:v>0</x:v>
      </x:c>
      <x:c r="W41" s="38"/>
      <x:c r="X41" s="3" t="str">
        <x:v>元/人</x:v>
      </x:c>
      <x:c r="Y41" s="3" t="str">
        <x:v>杭州外点位需补上海本地门票/交通</x:v>
      </x:c>
      <x:c r="Z41" s="3" t="str">
        <x:v>源点位表</x:v>
      </x:c>
      <x:c r="AA41" s="3" t="str">
        <x:v>杭州外点位需补上海本地门票/交通</x:v>
      </x:c>
      <x:c r="AB41" s="3" t="str">
        <x:v>上海延伸/城市景观</x:v>
      </x:c>
      <x:c r="AC41" s="40" t="n">
        <x:f>IF(ISBLANK(V41),"",ROUNDUP(V41*1.3,0))</x:f>
        <x:v>0</x:v>
      </x:c>
      <x:c r="AD41" s="40" t="str">
        <x:f>IF(ISBLANK(W41),"",ROUNDUP(W41*1.3,0))</x:f>
      </x:c>
      <x:c r="AE41" s="40" t="n">
        <x:v>1.3</x:v>
      </x:c>
    </x:row>
    <x:row r="42" ht="17">
      <x:c r="A42" s="3" t="str">
        <x:v>POI041</x:v>
      </x:c>
      <x:c r="B42" s="3" t="str">
        <x:v>旅游</x:v>
      </x:c>
      <x:c r="C42" s="3" t="str">
        <x:v>杭州外</x:v>
      </x:c>
      <x:c r="D42" s="3" t="str">
        <x:v>上海</x:v>
      </x:c>
      <x:c r="E42" s="3" t="str">
        <x:v>外滩夜景 / 黄浦江游船（二选一）</x:v>
      </x:c>
      <x:c r="F42" s="3" t="str">
        <x:v>25</x:v>
      </x:c>
      <x:c r="G42" s="3" t="str">
        <x:v>上海延伸</x:v>
      </x:c>
      <x:c r="H42" s="3" t="str">
        <x:v>通用</x:v>
      </x:c>
      <x:c r="I42" s="3" t="str">
        <x:v>杭州外</x:v>
      </x:c>
      <x:c r="J42" s="3" t="str">
        <x:v>休闲</x:v>
      </x:c>
      <x:c r="K42" s="3" t="str">
        <x:v>1小时</x:v>
      </x:c>
      <x:c r="L42" s="11" t="n">
        <x:v>1</x:v>
      </x:c>
      <x:c r="M42" s="3" t="str">
        <x:v>0-1小时</x:v>
      </x:c>
      <x:c r="N42" s="12" t="n">
        <x:v>0.12</x:v>
      </x:c>
      <x:c r="O42" s="3" t="str">
        <x:v>25</x:v>
      </x:c>
      <x:c r="P42" s="3" t="str">
        <x:v>25</x:v>
      </x:c>
      <x:c r="Q42" s="3" t="str">
        <x:v>25</x:v>
      </x:c>
      <x:c r="R42" s="3" t="str">
        <x:v>部分补充</x:v>
      </x:c>
      <x:c r="S42" s="3" t="str">
        <x:v>基础成本0/元/人；增值项目另计</x:v>
      </x:c>
      <x:c r="T42" s="38" t="n">
        <x:v>0</x:v>
      </x:c>
      <x:c r="U42" s="38" t="n">
        <x:f>IF(ISBLANK(T42),"",ROUNDUP(T42*1.3,0))</x:f>
        <x:v>0</x:v>
      </x:c>
      <x:c r="V42" s="38" t="n">
        <x:v>0</x:v>
      </x:c>
      <x:c r="W42" s="38"/>
      <x:c r="X42" s="3" t="str">
        <x:v>元/人</x:v>
      </x:c>
      <x:c r="Y42" s="3" t="str">
        <x:v>黄浦江游船需补价</x:v>
      </x:c>
      <x:c r="Z42" s="3" t="str">
        <x:v>源点位表</x:v>
      </x:c>
      <x:c r="AA42" s="3" t="str">
        <x:v>黄浦江游船需补价</x:v>
      </x:c>
      <x:c r="AB42" s="3" t="str">
        <x:v>上海延伸/夜游</x:v>
      </x:c>
      <x:c r="AC42" s="40" t="n">
        <x:f>IF(ISBLANK(V42),"",ROUNDUP(V42*1.3,0))</x:f>
        <x:v>0</x:v>
      </x:c>
      <x:c r="AD42" s="40" t="str">
        <x:f>IF(ISBLANK(W42),"",ROUNDUP(W42*1.3,0))</x:f>
      </x:c>
      <x:c r="AE42" s="40" t="n">
        <x:v>1.3</x:v>
      </x:c>
    </x:row>
    <x:row r="43" ht="17">
      <x:c r="A43" s="3" t="str">
        <x:v>POI042</x:v>
      </x:c>
      <x:c r="B43" s="3" t="str">
        <x:v>旅游</x:v>
      </x:c>
      <x:c r="C43" s="3" t="str">
        <x:v>杭州外</x:v>
      </x:c>
      <x:c r="D43" s="3" t="str">
        <x:v>上海</x:v>
      </x:c>
      <x:c r="E43" s="3" t="str">
        <x:v>上海博物馆东馆</x:v>
      </x:c>
      <x:c r="F43" s="3" t="str">
        <x:v>25</x:v>
      </x:c>
      <x:c r="G43" s="3" t="str">
        <x:v>上海延伸</x:v>
      </x:c>
      <x:c r="H43" s="3" t="str">
        <x:v>通用</x:v>
      </x:c>
      <x:c r="I43" s="3" t="str">
        <x:v>杭州外</x:v>
      </x:c>
      <x:c r="J43" s="3" t="str">
        <x:v>适中</x:v>
      </x:c>
      <x:c r="K43" s="3" t="str">
        <x:v>2.5小时</x:v>
      </x:c>
      <x:c r="L43" s="11" t="n">
        <x:v>2.5</x:v>
      </x:c>
      <x:c r="M43" s="3" t="str">
        <x:v>2-4小时</x:v>
      </x:c>
      <x:c r="N43" s="12" t="n">
        <x:v>0.31</x:v>
      </x:c>
      <x:c r="O43" s="3" t="str">
        <x:v>25</x:v>
      </x:c>
      <x:c r="P43" s="3" t="str">
        <x:v>25</x:v>
      </x:c>
      <x:c r="Q43" s="3" t="str">
        <x:v>25</x:v>
      </x:c>
      <x:c r="R43" s="3" t="str">
        <x:v>部分补充</x:v>
      </x:c>
      <x:c r="S43" s="3" t="str">
        <x:v>基础成本0/元/人；增值项目另计</x:v>
      </x:c>
      <x:c r="T43" s="38" t="n">
        <x:v>0</x:v>
      </x:c>
      <x:c r="U43" s="38" t="n">
        <x:f>IF(ISBLANK(T43),"",ROUNDUP(T43*1.3,0))</x:f>
        <x:v>0</x:v>
      </x:c>
      <x:c r="V43" s="38" t="n">
        <x:v>0</x:v>
      </x:c>
      <x:c r="W43" s="38"/>
      <x:c r="X43" s="3" t="str">
        <x:v>元/人</x:v>
      </x:c>
      <x:c r="Y43" s="3" t="str">
        <x:v>杭州外点位需补预约/讲解费用</x:v>
      </x:c>
      <x:c r="Z43" s="3" t="str">
        <x:v>源点位表</x:v>
      </x:c>
      <x:c r="AA43" s="3" t="str">
        <x:v>杭州外点位需补预约/讲解费用</x:v>
      </x:c>
      <x:c r="AB43" s="3" t="str">
        <x:v>上海延伸/人文室内</x:v>
      </x:c>
      <x:c r="AC43" s="40" t="n">
        <x:f>IF(ISBLANK(V43),"",ROUNDUP(V43*1.3,0))</x:f>
        <x:v>0</x:v>
      </x:c>
      <x:c r="AD43" s="40" t="str">
        <x:f>IF(ISBLANK(W43),"",ROUNDUP(W43*1.3,0))</x:f>
      </x:c>
      <x:c r="AE43" s="40" t="n">
        <x:v>1.3</x:v>
      </x:c>
    </x:row>
    <x:row r="44" ht="17">
      <x:c r="A44" s="3" t="str">
        <x:v>POI043</x:v>
      </x:c>
      <x:c r="B44" s="3" t="str">
        <x:v>旅游</x:v>
      </x:c>
      <x:c r="C44" s="3" t="str">
        <x:v>杭州外</x:v>
      </x:c>
      <x:c r="D44" s="3" t="str">
        <x:v>义乌</x:v>
      </x:c>
      <x:c r="E44" s="3" t="str">
        <x:v>义乌国际商贸城一区/五区自由购物</x:v>
      </x:c>
      <x:c r="F44" s="3" t="str">
        <x:v>25</x:v>
      </x:c>
      <x:c r="G44" s="3" t="str">
        <x:v>义乌延伸</x:v>
      </x:c>
      <x:c r="H44" s="3" t="str">
        <x:v>通用</x:v>
      </x:c>
      <x:c r="I44" s="3" t="str">
        <x:v>杭州外</x:v>
      </x:c>
      <x:c r="J44" s="3" t="str">
        <x:v>适中</x:v>
      </x:c>
      <x:c r="K44" s="3" t="str">
        <x:v>2.5小时</x:v>
      </x:c>
      <x:c r="L44" s="11" t="n">
        <x:v>2.5</x:v>
      </x:c>
      <x:c r="M44" s="3" t="str">
        <x:v>2-4小时</x:v>
      </x:c>
      <x:c r="N44" s="12" t="n">
        <x:v>0.31</x:v>
      </x:c>
      <x:c r="O44" s="3" t="str">
        <x:v>25</x:v>
      </x:c>
      <x:c r="P44" s="3" t="str">
        <x:v>25</x:v>
      </x:c>
      <x:c r="Q44" s="3" t="str">
        <x:v>25</x:v>
      </x:c>
      <x:c r="R44" s="3" t="str">
        <x:v>部分补充</x:v>
      </x:c>
      <x:c r="S44" s="3" t="str">
        <x:v>基础成本0/元/人；增值项目另计</x:v>
      </x:c>
      <x:c r="T44" s="38" t="n">
        <x:v>0</x:v>
      </x:c>
      <x:c r="U44" s="38" t="n">
        <x:f>IF(ISBLANK(T44),"",ROUNDUP(T44*1.3,0))</x:f>
        <x:v>0</x:v>
      </x:c>
      <x:c r="V44" s="38" t="n">
        <x:v>0</x:v>
      </x:c>
      <x:c r="W44" s="38"/>
      <x:c r="X44" s="3" t="str">
        <x:v>元/人</x:v>
      </x:c>
      <x:c r="Y44" s="3" t="str">
        <x:v>需补杭州-义乌交通与导览费用</x:v>
      </x:c>
      <x:c r="Z44" s="3" t="str">
        <x:v>源点位表</x:v>
      </x:c>
      <x:c r="AA44" s="3" t="str">
        <x:v>需补杭州-义乌交通与导览费用</x:v>
      </x:c>
      <x:c r="AB44" s="3" t="str">
        <x:v>义乌延伸/商贸采购</x:v>
      </x:c>
      <x:c r="AC44" s="40" t="n">
        <x:f>IF(ISBLANK(V44),"",ROUNDUP(V44*1.3,0))</x:f>
        <x:v>0</x:v>
      </x:c>
      <x:c r="AD44" s="40" t="str">
        <x:f>IF(ISBLANK(W44),"",ROUNDUP(W44*1.3,0))</x:f>
      </x:c>
      <x:c r="AE44" s="40" t="n">
        <x:v>1.3</x:v>
      </x:c>
    </x:row>
    <x:row r="45" ht="17">
      <x:c r="A45" s="3" t="str">
        <x:v>POI044</x:v>
      </x:c>
      <x:c r="B45" s="3" t="str">
        <x:v>住宿</x:v>
      </x:c>
      <x:c r="C45" s="3" t="str">
        <x:v>住宿标准</x:v>
      </x:c>
      <x:c r="D45" s="3" t="str">
        <x:v>通用</x:v>
      </x:c>
      <x:c r="E45" s="3" t="str">
        <x:v>500/人 标准</x:v>
      </x:c>
      <x:c r="F45" s="3" t="str">
        <x:v>25</x:v>
      </x:c>
      <x:c r="G45" s="3" t="str">
        <x:v>按需组合</x:v>
      </x:c>
      <x:c r="H45" s="3" t="str">
        <x:v>通用</x:v>
      </x:c>
      <x:c r="I45" s="3" t="str">
        <x:v>住宿</x:v>
      </x:c>
      <x:c r="J45" s="3" t="str">
        <x:v>待确认</x:v>
      </x:c>
      <x:c r="K45" s="3" t="str">
        <x:v>25</x:v>
      </x:c>
      <x:c r="L45" s="11"/>
      <x:c r="M45" s="3" t="str">
        <x:v>不限</x:v>
      </x:c>
      <x:c r="N45" s="12"/>
      <x:c r="O45" s="3" t="str">
        <x:v>25</x:v>
      </x:c>
      <x:c r="P45" s="3" t="str">
        <x:v>25</x:v>
      </x:c>
      <x:c r="Q45" s="3" t="str">
        <x:v>25</x:v>
      </x:c>
      <x:c r="R45" s="3" t="str">
        <x:v>已补充</x:v>
      </x:c>
      <x:c r="S45" s="3" t="str">
        <x:v>500/人 标准</x:v>
      </x:c>
      <x:c r="T45" s="38" t="n">
        <x:v>500</x:v>
      </x:c>
      <x:c r="U45" s="38" t="n">
        <x:f>IF(ISBLANK(T45),"",ROUNDUP(T45*1.3,0))</x:f>
        <x:v>650</x:v>
      </x:c>
      <x:c r="V45" s="38" t="n">
        <x:v>500</x:v>
      </x:c>
      <x:c r="W45" s="38" t="n">
        <x:v>500</x:v>
      </x:c>
      <x:c r="X45" s="3" t="str">
        <x:v>元/人/晚</x:v>
      </x:c>
      <x:c r="Y45" s="3" t="str">
        <x:v>通用住宿标准，可替换具体酒店</x:v>
      </x:c>
      <x:c r="Z45" s="3" t="str">
        <x:v>HZH产品点位表</x:v>
      </x:c>
      <x:c r="AA45" s="3" t="str">
        <x:v>待补价格</x:v>
      </x:c>
      <x:c r="AB45" s="3" t="str">
        <x:v>可作为住宿预算筛选</x:v>
      </x:c>
      <x:c r="AC45" s="40" t="n">
        <x:f>IF(ISBLANK(V45),"",ROUNDUP(V45*1.3,0))</x:f>
        <x:v>650</x:v>
      </x:c>
      <x:c r="AD45" s="40" t="n">
        <x:f>IF(ISBLANK(W45),"",ROUNDUP(W45*1.3,0))</x:f>
        <x:v>650</x:v>
      </x:c>
      <x:c r="AE45" s="40" t="n">
        <x:v>1.3</x:v>
      </x:c>
    </x:row>
    <x:row r="46" ht="17">
      <x:c r="A46" s="3" t="str">
        <x:v>POI045</x:v>
      </x:c>
      <x:c r="B46" s="3" t="str">
        <x:v>住宿</x:v>
      </x:c>
      <x:c r="C46" s="3" t="str">
        <x:v>住宿标准</x:v>
      </x:c>
      <x:c r="D46" s="3" t="str">
        <x:v>通用</x:v>
      </x:c>
      <x:c r="E46" s="3" t="str">
        <x:v>800/人 标准</x:v>
      </x:c>
      <x:c r="F46" s="3" t="str">
        <x:v>25</x:v>
      </x:c>
      <x:c r="G46" s="3" t="str">
        <x:v>按需组合</x:v>
      </x:c>
      <x:c r="H46" s="3" t="str">
        <x:v>通用</x:v>
      </x:c>
      <x:c r="I46" s="3" t="str">
        <x:v>住宿</x:v>
      </x:c>
      <x:c r="J46" s="3" t="str">
        <x:v>待确认</x:v>
      </x:c>
      <x:c r="K46" s="3" t="str">
        <x:v>25</x:v>
      </x:c>
      <x:c r="L46" s="11"/>
      <x:c r="M46" s="3" t="str">
        <x:v>不限</x:v>
      </x:c>
      <x:c r="N46" s="12"/>
      <x:c r="O46" s="3" t="str">
        <x:v>25</x:v>
      </x:c>
      <x:c r="P46" s="3" t="str">
        <x:v>25</x:v>
      </x:c>
      <x:c r="Q46" s="3" t="str">
        <x:v>25</x:v>
      </x:c>
      <x:c r="R46" s="3" t="str">
        <x:v>已补充</x:v>
      </x:c>
      <x:c r="S46" s="3" t="str">
        <x:v>800/人 标准</x:v>
      </x:c>
      <x:c r="T46" s="38" t="n">
        <x:v>800</x:v>
      </x:c>
      <x:c r="U46" s="38" t="n">
        <x:f>IF(ISBLANK(T46),"",ROUNDUP(T46*1.3,0))</x:f>
        <x:v>1040</x:v>
      </x:c>
      <x:c r="V46" s="38" t="n">
        <x:v>800</x:v>
      </x:c>
      <x:c r="W46" s="38" t="n">
        <x:v>800</x:v>
      </x:c>
      <x:c r="X46" s="3" t="str">
        <x:v>元/人/晚</x:v>
      </x:c>
      <x:c r="Y46" s="3" t="str">
        <x:v>通用住宿标准，可替换具体酒店</x:v>
      </x:c>
      <x:c r="Z46" s="3" t="str">
        <x:v>HZH产品点位表</x:v>
      </x:c>
      <x:c r="AA46" s="3" t="str">
        <x:v>待补价格</x:v>
      </x:c>
      <x:c r="AB46" s="3" t="str">
        <x:v>可作为住宿预算筛选</x:v>
      </x:c>
      <x:c r="AC46" s="40" t="n">
        <x:f>IF(ISBLANK(V46),"",ROUNDUP(V46*1.3,0))</x:f>
        <x:v>1040</x:v>
      </x:c>
      <x:c r="AD46" s="40" t="n">
        <x:f>IF(ISBLANK(W46),"",ROUNDUP(W46*1.3,0))</x:f>
        <x:v>1040</x:v>
      </x:c>
      <x:c r="AE46" s="40" t="n">
        <x:v>1.3</x:v>
      </x:c>
    </x:row>
    <x:row r="47" ht="17">
      <x:c r="A47" s="3" t="str">
        <x:v>POI046</x:v>
      </x:c>
      <x:c r="B47" s="3" t="str">
        <x:v>餐费</x:v>
      </x:c>
      <x:c r="C47" s="3" t="str">
        <x:v>餐标</x:v>
      </x:c>
      <x:c r="D47" s="3" t="str">
        <x:v>通用</x:v>
      </x:c>
      <x:c r="E47" s="3" t="str">
        <x:v>200/人 标准</x:v>
      </x:c>
      <x:c r="F47" s="3" t="str">
        <x:v>25</x:v>
      </x:c>
      <x:c r="G47" s="3" t="str">
        <x:v>按需组合</x:v>
      </x:c>
      <x:c r="H47" s="3" t="str">
        <x:v>通用</x:v>
      </x:c>
      <x:c r="I47" s="3" t="str">
        <x:v>餐费</x:v>
      </x:c>
      <x:c r="J47" s="3" t="str">
        <x:v>待确认</x:v>
      </x:c>
      <x:c r="K47" s="3" t="str">
        <x:v>25</x:v>
      </x:c>
      <x:c r="L47" s="11"/>
      <x:c r="M47" s="3" t="str">
        <x:v>不限</x:v>
      </x:c>
      <x:c r="N47" s="12"/>
      <x:c r="O47" s="3" t="str">
        <x:v>25</x:v>
      </x:c>
      <x:c r="P47" s="3" t="str">
        <x:v>25</x:v>
      </x:c>
      <x:c r="Q47" s="3" t="str">
        <x:v>25</x:v>
      </x:c>
      <x:c r="R47" s="3" t="str">
        <x:v>已补充</x:v>
      </x:c>
      <x:c r="S47" s="3" t="str">
        <x:v>200/人 标准</x:v>
      </x:c>
      <x:c r="T47" s="38" t="n">
        <x:v>200</x:v>
      </x:c>
      <x:c r="U47" s="38" t="n">
        <x:f>IF(ISBLANK(T47),"",ROUNDUP(T47*1.3,0))</x:f>
        <x:v>260</x:v>
      </x:c>
      <x:c r="V47" s="38" t="n">
        <x:v>200</x:v>
      </x:c>
      <x:c r="W47" s="38" t="n">
        <x:v>200</x:v>
      </x:c>
      <x:c r="X47" s="3" t="str">
        <x:v>元/人/餐</x:v>
      </x:c>
      <x:c r="Y47" s="3" t="str">
        <x:v>通用餐标，可替换具体餐厅</x:v>
      </x:c>
      <x:c r="Z47" s="3" t="str">
        <x:v>HZH产品点位表</x:v>
      </x:c>
      <x:c r="AA47" s="3" t="str">
        <x:v>待补价格</x:v>
      </x:c>
      <x:c r="AB47" s="3" t="str">
        <x:v>可作为餐标预算筛选</x:v>
      </x:c>
      <x:c r="AC47" s="40" t="n">
        <x:f>IF(ISBLANK(V47),"",ROUNDUP(V47*1.3,0))</x:f>
        <x:v>260</x:v>
      </x:c>
      <x:c r="AD47" s="40" t="n">
        <x:f>IF(ISBLANK(W47),"",ROUNDUP(W47*1.3,0))</x:f>
        <x:v>260</x:v>
      </x:c>
      <x:c r="AE47" s="40" t="n">
        <x:v>1.3</x:v>
      </x:c>
    </x:row>
    <x:row r="48" ht="17">
      <x:c r="A48" s="3" t="str">
        <x:v>POI047</x:v>
      </x:c>
      <x:c r="B48" s="3" t="str">
        <x:v>餐费</x:v>
      </x:c>
      <x:c r="C48" s="3" t="str">
        <x:v>餐标</x:v>
      </x:c>
      <x:c r="D48" s="3" t="str">
        <x:v>通用</x:v>
      </x:c>
      <x:c r="E48" s="3" t="str">
        <x:v>300/人 标准</x:v>
      </x:c>
      <x:c r="F48" s="3" t="str">
        <x:v>25</x:v>
      </x:c>
      <x:c r="G48" s="3" t="str">
        <x:v>按需组合</x:v>
      </x:c>
      <x:c r="H48" s="3" t="str">
        <x:v>通用</x:v>
      </x:c>
      <x:c r="I48" s="3" t="str">
        <x:v>餐费</x:v>
      </x:c>
      <x:c r="J48" s="3" t="str">
        <x:v>待确认</x:v>
      </x:c>
      <x:c r="K48" s="3" t="str">
        <x:v>25</x:v>
      </x:c>
      <x:c r="L48" s="11"/>
      <x:c r="M48" s="3" t="str">
        <x:v>不限</x:v>
      </x:c>
      <x:c r="N48" s="12"/>
      <x:c r="O48" s="3" t="str">
        <x:v>25</x:v>
      </x:c>
      <x:c r="P48" s="3" t="str">
        <x:v>25</x:v>
      </x:c>
      <x:c r="Q48" s="3" t="str">
        <x:v>25</x:v>
      </x:c>
      <x:c r="R48" s="3" t="str">
        <x:v>已补充</x:v>
      </x:c>
      <x:c r="S48" s="3" t="str">
        <x:v>300/人 标准</x:v>
      </x:c>
      <x:c r="T48" s="38" t="n">
        <x:v>300</x:v>
      </x:c>
      <x:c r="U48" s="38" t="n">
        <x:f>IF(ISBLANK(T48),"",ROUNDUP(T48*1.3,0))</x:f>
        <x:v>390</x:v>
      </x:c>
      <x:c r="V48" s="38" t="n">
        <x:v>300</x:v>
      </x:c>
      <x:c r="W48" s="38" t="n">
        <x:v>300</x:v>
      </x:c>
      <x:c r="X48" s="3" t="str">
        <x:v>元/人/餐</x:v>
      </x:c>
      <x:c r="Y48" s="3" t="str">
        <x:v>通用餐标，可替换具体餐厅</x:v>
      </x:c>
      <x:c r="Z48" s="3" t="str">
        <x:v>HZH产品点位表</x:v>
      </x:c>
      <x:c r="AA48" s="3" t="str">
        <x:v>待补价格</x:v>
      </x:c>
      <x:c r="AB48" s="3" t="str">
        <x:v>可作为餐标预算筛选</x:v>
      </x:c>
      <x:c r="AC48" s="40" t="n">
        <x:f>IF(ISBLANK(V48),"",ROUNDUP(V48*1.3,0))</x:f>
        <x:v>390</x:v>
      </x:c>
      <x:c r="AD48" s="40" t="n">
        <x:f>IF(ISBLANK(W48),"",ROUNDUP(W48*1.3,0))</x:f>
        <x:v>390</x:v>
      </x:c>
      <x:c r="AE48" s="40" t="n">
        <x:v>1.3</x:v>
      </x:c>
    </x:row>
    <x:row r="49" ht="34">
      <x:c r="A49" s="3" t="str">
        <x:v>POI048</x:v>
      </x:c>
      <x:c r="B49" s="3" t="str">
        <x:v>服务标准</x:v>
      </x:c>
      <x:c r="C49" s="3" t="str">
        <x:v>车导服务</x:v>
      </x:c>
      <x:c r="D49" s="3" t="str">
        <x:v>通用</x:v>
      </x:c>
      <x:c r="E49" s="3" t="str">
        <x:v>车导组合：1-3人私家车+双语导游</x:v>
      </x:c>
      <x:c r="F49" s="3" t="str">
        <x:v>25</x:v>
      </x:c>
      <x:c r="G49" s="3" t="str">
        <x:v>东方本草/西湖/茶韵等</x:v>
      </x:c>
      <x:c r="H49" s="3" t="str">
        <x:v>通用</x:v>
      </x:c>
      <x:c r="I49" s="3" t="str">
        <x:v>服务标准</x:v>
      </x:c>
      <x:c r="J49" s="3" t="str">
        <x:v>服务</x:v>
      </x:c>
      <x:c r="K49" s="3" t="str">
        <x:v>1日</x:v>
      </x:c>
      <x:c r="L49" s="11" t="n">
        <x:v>8</x:v>
      </x:c>
      <x:c r="M49" s="3" t="str">
        <x:v>1日</x:v>
      </x:c>
      <x:c r="N49" s="12" t="n">
        <x:v>1</x:v>
      </x:c>
      <x:c r="O49" s="3" t="str">
        <x:v>25</x:v>
      </x:c>
      <x:c r="P49" s="3" t="str">
        <x:v>25</x:v>
      </x:c>
      <x:c r="Q49" s="3" t="str">
        <x:v>必选</x:v>
      </x:c>
      <x:c r="R49" s="3" t="str">
        <x:v>已补充</x:v>
      </x:c>
      <x:c r="S49" s="3" t="str">
        <x:v>1800/团/日</x:v>
      </x:c>
      <x:c r="T49" s="38" t="n">
        <x:v>1800</x:v>
      </x:c>
      <x:c r="U49" s="38" t="n">
        <x:f>IF(ISBLANK(T49),"",ROUNDUP(T49*1.3,0))</x:f>
        <x:v>2340</x:v>
      </x:c>
      <x:c r="V49" s="38" t="n">
        <x:v>1800</x:v>
      </x:c>
      <x:c r="W49" s="38" t="n">
        <x:v>1800</x:v>
      </x:c>
      <x:c r="X49" s="3" t="str">
        <x:v>元/团/日</x:v>
      </x:c>
      <x:c r="Y49" s="3" t="str">
        <x:v>常规线路1-3人车导组合；宋韵线为2000/团/日</x:v>
      </x:c>
      <x:c r="Z49" s="3" t="str">
        <x:v>康养文旅 p1,p8,p11,p13,p16,p22</x:v>
      </x:c>
      <x:c r="AA49" s="3" t="str">
        <x:v>团队服务基础价格</x:v>
      </x:c>
      <x:c r="AB49" s="3" t="str">
        <x:v>线路基础服务费</x:v>
      </x:c>
      <x:c r="AC49" s="40" t="n">
        <x:f>IF(ISBLANK(V49),"",ROUNDUP(V49*1.3,0))</x:f>
        <x:v>2340</x:v>
      </x:c>
      <x:c r="AD49" s="40" t="n">
        <x:f>IF(ISBLANK(W49),"",ROUNDUP(W49*1.3,0))</x:f>
        <x:v>2340</x:v>
      </x:c>
      <x:c r="AE49" s="40" t="n">
        <x:v>1.3</x:v>
      </x:c>
    </x:row>
    <x:row r="50" ht="34">
      <x:c r="A50" s="3" t="str">
        <x:v>POI049</x:v>
      </x:c>
      <x:c r="B50" s="3" t="str">
        <x:v>服务标准</x:v>
      </x:c>
      <x:c r="C50" s="3" t="str">
        <x:v>车导服务</x:v>
      </x:c>
      <x:c r="D50" s="3" t="str">
        <x:v>通用</x:v>
      </x:c>
      <x:c r="E50" s="3" t="str">
        <x:v>车导组合：4-5人商务车+双语导游</x:v>
      </x:c>
      <x:c r="F50" s="3" t="str">
        <x:v>25</x:v>
      </x:c>
      <x:c r="G50" s="3" t="str">
        <x:v>东方本草/西湖/茶韵等</x:v>
      </x:c>
      <x:c r="H50" s="3" t="str">
        <x:v>通用</x:v>
      </x:c>
      <x:c r="I50" s="3" t="str">
        <x:v>服务标准</x:v>
      </x:c>
      <x:c r="J50" s="3" t="str">
        <x:v>服务</x:v>
      </x:c>
      <x:c r="K50" s="3" t="str">
        <x:v>1日</x:v>
      </x:c>
      <x:c r="L50" s="11" t="n">
        <x:v>8</x:v>
      </x:c>
      <x:c r="M50" s="3" t="str">
        <x:v>1日</x:v>
      </x:c>
      <x:c r="N50" s="12" t="n">
        <x:v>1</x:v>
      </x:c>
      <x:c r="O50" s="3" t="str">
        <x:v>25</x:v>
      </x:c>
      <x:c r="P50" s="3" t="str">
        <x:v>25</x:v>
      </x:c>
      <x:c r="Q50" s="3" t="str">
        <x:v>必选</x:v>
      </x:c>
      <x:c r="R50" s="3" t="str">
        <x:v>区间价/多规格</x:v>
      </x:c>
      <x:c r="S50" s="3" t="str">
        <x:v>2600/团/日</x:v>
      </x:c>
      <x:c r="T50" s="38" t="n">
        <x:v>2600</x:v>
      </x:c>
      <x:c r="U50" s="38" t="n">
        <x:f>IF(ISBLANK(T50),"",ROUNDUP(T50*1.3,0))</x:f>
        <x:v>3380</x:v>
      </x:c>
      <x:c r="V50" s="38" t="n">
        <x:v>2600</x:v>
      </x:c>
      <x:c r="W50" s="38" t="n">
        <x:v>2800</x:v>
      </x:c>
      <x:c r="X50" s="3" t="str">
        <x:v>元/团/日</x:v>
      </x:c>
      <x:c r="Y50" s="3" t="str">
        <x:v>常规线路4-5人2600；宋韵线2800</x:v>
      </x:c>
      <x:c r="Z50" s="3" t="str">
        <x:v>康养文旅 p1,p8,p11,p13,p16,p22</x:v>
      </x:c>
      <x:c r="AA50" s="3" t="str">
        <x:v>团队服务基础价格</x:v>
      </x:c>
      <x:c r="AB50" s="3" t="str">
        <x:v>线路基础服务费</x:v>
      </x:c>
      <x:c r="AC50" s="40" t="n">
        <x:f>IF(ISBLANK(V50),"",ROUNDUP(V50*1.3,0))</x:f>
        <x:v>3380</x:v>
      </x:c>
      <x:c r="AD50" s="40" t="n">
        <x:f>IF(ISBLANK(W50),"",ROUNDUP(W50*1.3,0))</x:f>
        <x:v>3640</x:v>
      </x:c>
      <x:c r="AE50" s="40" t="n">
        <x:v>1.3</x:v>
      </x:c>
    </x:row>
    <x:row r="51" ht="34">
      <x:c r="A51" s="3" t="str">
        <x:v>POI050</x:v>
      </x:c>
      <x:c r="B51" s="3" t="str">
        <x:v>服务标准</x:v>
      </x:c>
      <x:c r="C51" s="3" t="str">
        <x:v>车导服务</x:v>
      </x:c>
      <x:c r="D51" s="3" t="str">
        <x:v>通用</x:v>
      </x:c>
      <x:c r="E51" s="3" t="str">
        <x:v>车导组合：6-12人中巴+双语导游</x:v>
      </x:c>
      <x:c r="F51" s="3" t="str">
        <x:v>25</x:v>
      </x:c>
      <x:c r="G51" s="3" t="str">
        <x:v>东方本草/西湖/茶韵等</x:v>
      </x:c>
      <x:c r="H51" s="3" t="str">
        <x:v>通用</x:v>
      </x:c>
      <x:c r="I51" s="3" t="str">
        <x:v>服务标准</x:v>
      </x:c>
      <x:c r="J51" s="3" t="str">
        <x:v>服务</x:v>
      </x:c>
      <x:c r="K51" s="3" t="str">
        <x:v>1日</x:v>
      </x:c>
      <x:c r="L51" s="11" t="n">
        <x:v>8</x:v>
      </x:c>
      <x:c r="M51" s="3" t="str">
        <x:v>1日</x:v>
      </x:c>
      <x:c r="N51" s="12" t="n">
        <x:v>1</x:v>
      </x:c>
      <x:c r="O51" s="3" t="str">
        <x:v>25</x:v>
      </x:c>
      <x:c r="P51" s="3" t="str">
        <x:v>25</x:v>
      </x:c>
      <x:c r="Q51" s="3" t="str">
        <x:v>必选</x:v>
      </x:c>
      <x:c r="R51" s="3" t="str">
        <x:v>区间价/多规格</x:v>
      </x:c>
      <x:c r="S51" s="3" t="str">
        <x:v>3600/团/日</x:v>
      </x:c>
      <x:c r="T51" s="38" t="n">
        <x:v>3600</x:v>
      </x:c>
      <x:c r="U51" s="38" t="n">
        <x:f>IF(ISBLANK(T51),"",ROUNDUP(T51*1.3,0))</x:f>
        <x:v>4680</x:v>
      </x:c>
      <x:c r="V51" s="38" t="n">
        <x:v>3600</x:v>
      </x:c>
      <x:c r="W51" s="38" t="n">
        <x:v>3800</x:v>
      </x:c>
      <x:c r="X51" s="3" t="str">
        <x:v>元/团/日</x:v>
      </x:c>
      <x:c r="Y51" s="3" t="str">
        <x:v>常规线路6-12人3600；宋韵线3800</x:v>
      </x:c>
      <x:c r="Z51" s="3" t="str">
        <x:v>康养文旅 p1,p8,p11,p13,p16,p22</x:v>
      </x:c>
      <x:c r="AA51" s="3" t="str">
        <x:v>团队服务基础价格</x:v>
      </x:c>
      <x:c r="AB51" s="3" t="str">
        <x:v>线路基础服务费</x:v>
      </x:c>
      <x:c r="AC51" s="40" t="n">
        <x:f>IF(ISBLANK(V51),"",ROUNDUP(V51*1.3,0))</x:f>
        <x:v>4680</x:v>
      </x:c>
      <x:c r="AD51" s="40" t="n">
        <x:f>IF(ISBLANK(W51),"",ROUNDUP(W51*1.3,0))</x:f>
        <x:v>4940</x:v>
      </x:c>
      <x:c r="AE51" s="40" t="n">
        <x:v>1.3</x:v>
      </x:c>
    </x:row>
    <x:row r="52" ht="17">
      <x:c r="A52" s="3" t="str">
        <x:v>POI051</x:v>
      </x:c>
      <x:c r="B52" s="3" t="str">
        <x:v>服务标准</x:v>
      </x:c>
      <x:c r="C52" s="3" t="str">
        <x:v>半日车导</x:v>
      </x:c>
      <x:c r="D52" s="3" t="str">
        <x:v>杭州</x:v>
      </x:c>
      <x:c r="E52" s="3" t="str">
        <x:v>铜鉴湖半日车导：1-3人</x:v>
      </x:c>
      <x:c r="F52" s="3" t="str">
        <x:v>25</x:v>
      </x:c>
      <x:c r="G52" s="3" t="str">
        <x:v>铜鉴湖花海疗愈</x:v>
      </x:c>
      <x:c r="H52" s="3" t="str">
        <x:v>引流款</x:v>
      </x:c>
      <x:c r="I52" s="3" t="str">
        <x:v>自然</x:v>
      </x:c>
      <x:c r="J52" s="3" t="str">
        <x:v>休闲</x:v>
      </x:c>
      <x:c r="K52" s="3" t="str">
        <x:v>半日</x:v>
      </x:c>
      <x:c r="L52" s="11" t="n">
        <x:v>4</x:v>
      </x:c>
      <x:c r="M52" s="3" t="str">
        <x:v>半日</x:v>
      </x:c>
      <x:c r="N52" s="12" t="n">
        <x:v>0.5</x:v>
      </x:c>
      <x:c r="O52" s="3" t="str">
        <x:v>25</x:v>
      </x:c>
      <x:c r="P52" s="3" t="str">
        <x:v>25</x:v>
      </x:c>
      <x:c r="Q52" s="3" t="str">
        <x:v>必选</x:v>
      </x:c>
      <x:c r="R52" s="3" t="str">
        <x:v>已补充</x:v>
      </x:c>
      <x:c r="S52" s="3" t="str">
        <x:v>1100/团/半日</x:v>
      </x:c>
      <x:c r="T52" s="38" t="n">
        <x:v>1100</x:v>
      </x:c>
      <x:c r="U52" s="38" t="n">
        <x:f>IF(ISBLANK(T52),"",ROUNDUP(T52*1.3,0))</x:f>
        <x:v>1430</x:v>
      </x:c>
      <x:c r="V52" s="38" t="n">
        <x:v>1100</x:v>
      </x:c>
      <x:c r="W52" s="38" t="n">
        <x:v>1100</x:v>
      </x:c>
      <x:c r="X52" s="3" t="str">
        <x:v>元/团/半日</x:v>
      </x:c>
      <x:c r="Y52" s="3" t="str">
        <x:v>铜鉴湖线路用车半天、导游按一天核算</x:v>
      </x:c>
      <x:c r="Z52" s="3" t="str">
        <x:v>康养文旅 p20</x:v>
      </x:c>
      <x:c r="AA52" s="3" t="str">
        <x:v>低强度花海线路</x:v>
      </x:c>
      <x:c r="AB52" s="3" t="str">
        <x:v>半日/2日线路基础服务</x:v>
      </x:c>
      <x:c r="AC52" s="40" t="n">
        <x:f>IF(ISBLANK(V52),"",ROUNDUP(V52*1.3,0))</x:f>
        <x:v>1430</x:v>
      </x:c>
      <x:c r="AD52" s="40" t="n">
        <x:f>IF(ISBLANK(W52),"",ROUNDUP(W52*1.3,0))</x:f>
        <x:v>1430</x:v>
      </x:c>
      <x:c r="AE52" s="40" t="n">
        <x:v>1.3</x:v>
      </x:c>
    </x:row>
    <x:row r="53" ht="17">
      <x:c r="A53" s="3" t="str">
        <x:v>POI052</x:v>
      </x:c>
      <x:c r="B53" s="3" t="str">
        <x:v>服务标准</x:v>
      </x:c>
      <x:c r="C53" s="3" t="str">
        <x:v>半日车导</x:v>
      </x:c>
      <x:c r="D53" s="3" t="str">
        <x:v>杭州</x:v>
      </x:c>
      <x:c r="E53" s="3" t="str">
        <x:v>铜鉴湖半日车导：4-5人</x:v>
      </x:c>
      <x:c r="F53" s="3" t="str">
        <x:v>25</x:v>
      </x:c>
      <x:c r="G53" s="3" t="str">
        <x:v>铜鉴湖花海疗愈</x:v>
      </x:c>
      <x:c r="H53" s="3" t="str">
        <x:v>引流款</x:v>
      </x:c>
      <x:c r="I53" s="3" t="str">
        <x:v>自然</x:v>
      </x:c>
      <x:c r="J53" s="3" t="str">
        <x:v>休闲</x:v>
      </x:c>
      <x:c r="K53" s="3" t="str">
        <x:v>半日</x:v>
      </x:c>
      <x:c r="L53" s="11" t="n">
        <x:v>4</x:v>
      </x:c>
      <x:c r="M53" s="3" t="str">
        <x:v>半日</x:v>
      </x:c>
      <x:c r="N53" s="12" t="n">
        <x:v>0.5</x:v>
      </x:c>
      <x:c r="O53" s="3" t="str">
        <x:v>25</x:v>
      </x:c>
      <x:c r="P53" s="3" t="str">
        <x:v>25</x:v>
      </x:c>
      <x:c r="Q53" s="3" t="str">
        <x:v>必选</x:v>
      </x:c>
      <x:c r="R53" s="3" t="str">
        <x:v>已补充</x:v>
      </x:c>
      <x:c r="S53" s="3" t="str">
        <x:v>1300/团/半日</x:v>
      </x:c>
      <x:c r="T53" s="38" t="n">
        <x:v>1300</x:v>
      </x:c>
      <x:c r="U53" s="38" t="n">
        <x:f>IF(ISBLANK(T53),"",ROUNDUP(T53*1.3,0))</x:f>
        <x:v>1690</x:v>
      </x:c>
      <x:c r="V53" s="38" t="n">
        <x:v>1300</x:v>
      </x:c>
      <x:c r="W53" s="38" t="n">
        <x:v>1300</x:v>
      </x:c>
      <x:c r="X53" s="3" t="str">
        <x:v>元/团/半日</x:v>
      </x:c>
      <x:c r="Y53" s="3" t="str">
        <x:v>铜鉴湖线路用车半天、导游按一天核算</x:v>
      </x:c>
      <x:c r="Z53" s="3" t="str">
        <x:v>康养文旅 p20</x:v>
      </x:c>
      <x:c r="AA53" s="3" t="str">
        <x:v>低强度花海线路</x:v>
      </x:c>
      <x:c r="AB53" s="3" t="str">
        <x:v>半日/2日线路基础服务</x:v>
      </x:c>
      <x:c r="AC53" s="40" t="n">
        <x:f>IF(ISBLANK(V53),"",ROUNDUP(V53*1.3,0))</x:f>
        <x:v>1690</x:v>
      </x:c>
      <x:c r="AD53" s="40" t="n">
        <x:f>IF(ISBLANK(W53),"",ROUNDUP(W53*1.3,0))</x:f>
        <x:v>1690</x:v>
      </x:c>
      <x:c r="AE53" s="40" t="n">
        <x:v>1.3</x:v>
      </x:c>
    </x:row>
    <x:row r="54" ht="17">
      <x:c r="A54" s="3" t="str">
        <x:v>POI053</x:v>
      </x:c>
      <x:c r="B54" s="3" t="str">
        <x:v>服务标准</x:v>
      </x:c>
      <x:c r="C54" s="3" t="str">
        <x:v>半日车导</x:v>
      </x:c>
      <x:c r="D54" s="3" t="str">
        <x:v>杭州</x:v>
      </x:c>
      <x:c r="E54" s="3" t="str">
        <x:v>铜鉴湖半日车导：6-12人</x:v>
      </x:c>
      <x:c r="F54" s="3" t="str">
        <x:v>25</x:v>
      </x:c>
      <x:c r="G54" s="3" t="str">
        <x:v>铜鉴湖花海疗愈</x:v>
      </x:c>
      <x:c r="H54" s="3" t="str">
        <x:v>引流款</x:v>
      </x:c>
      <x:c r="I54" s="3" t="str">
        <x:v>自然</x:v>
      </x:c>
      <x:c r="J54" s="3" t="str">
        <x:v>休闲</x:v>
      </x:c>
      <x:c r="K54" s="3" t="str">
        <x:v>半日</x:v>
      </x:c>
      <x:c r="L54" s="11" t="n">
        <x:v>4</x:v>
      </x:c>
      <x:c r="M54" s="3" t="str">
        <x:v>半日</x:v>
      </x:c>
      <x:c r="N54" s="12" t="n">
        <x:v>0.5</x:v>
      </x:c>
      <x:c r="O54" s="3" t="str">
        <x:v>25</x:v>
      </x:c>
      <x:c r="P54" s="3" t="str">
        <x:v>25</x:v>
      </x:c>
      <x:c r="Q54" s="3" t="str">
        <x:v>必选</x:v>
      </x:c>
      <x:c r="R54" s="3" t="str">
        <x:v>已补充</x:v>
      </x:c>
      <x:c r="S54" s="3" t="str">
        <x:v>1700/团/半日</x:v>
      </x:c>
      <x:c r="T54" s="38" t="n">
        <x:v>1700</x:v>
      </x:c>
      <x:c r="U54" s="38" t="n">
        <x:f>IF(ISBLANK(T54),"",ROUNDUP(T54*1.3,0))</x:f>
        <x:v>2210</x:v>
      </x:c>
      <x:c r="V54" s="38" t="n">
        <x:v>1700</x:v>
      </x:c>
      <x:c r="W54" s="38" t="n">
        <x:v>1700</x:v>
      </x:c>
      <x:c r="X54" s="3" t="str">
        <x:v>元/团/半日</x:v>
      </x:c>
      <x:c r="Y54" s="3" t="str">
        <x:v>铜鉴湖线路用车半天、导游按一天核算</x:v>
      </x:c>
      <x:c r="Z54" s="3" t="str">
        <x:v>康养文旅 p20</x:v>
      </x:c>
      <x:c r="AA54" s="3" t="str">
        <x:v>低强度花海线路</x:v>
      </x:c>
      <x:c r="AB54" s="3" t="str">
        <x:v>半日/2日线路基础服务</x:v>
      </x:c>
      <x:c r="AC54" s="40" t="n">
        <x:f>IF(ISBLANK(V54),"",ROUNDUP(V54*1.3,0))</x:f>
        <x:v>2210</x:v>
      </x:c>
      <x:c r="AD54" s="40" t="n">
        <x:f>IF(ISBLANK(W54),"",ROUNDUP(W54*1.3,0))</x:f>
        <x:v>2210</x:v>
      </x:c>
      <x:c r="AE54" s="40" t="n">
        <x:v>1.3</x:v>
      </x:c>
    </x:row>
    <x:row r="55" ht="17">
      <x:c r="A55" s="3" t="str">
        <x:v>POI054</x:v>
      </x:c>
      <x:c r="B55" s="3" t="str">
        <x:v>住宿</x:v>
      </x:c>
      <x:c r="C55" s="3" t="str">
        <x:v>酒店</x:v>
      </x:c>
      <x:c r="D55" s="3" t="str">
        <x:v>杭州</x:v>
      </x:c>
      <x:c r="E55" s="3" t="str">
        <x:v>杭州西湖东智选假日酒店或同级</x:v>
      </x:c>
      <x:c r="F55" s="3" t="str">
        <x:v>25</x:v>
      </x:c>
      <x:c r="G55" s="3" t="str">
        <x:v>东方本草/筋骨调养</x:v>
      </x:c>
      <x:c r="H55" s="3" t="str">
        <x:v>引流/利润</x:v>
      </x:c>
      <x:c r="I55" s="3" t="str">
        <x:v>住宿</x:v>
      </x:c>
      <x:c r="J55" s="3" t="str">
        <x:v>休闲</x:v>
      </x:c>
      <x:c r="K55" s="3" t="str">
        <x:v>1晚</x:v>
      </x:c>
      <x:c r="L55" s="11" t="n">
        <x:v>8</x:v>
      </x:c>
      <x:c r="M55" s="3" t="str">
        <x:v>1日</x:v>
      </x:c>
      <x:c r="N55" s="12" t="n">
        <x:v>1</x:v>
      </x:c>
      <x:c r="O55" s="3" t="str">
        <x:v>25</x:v>
      </x:c>
      <x:c r="P55" s="3" t="str">
        <x:v>25</x:v>
      </x:c>
      <x:c r="Q55" s="3" t="str">
        <x:v>可选</x:v>
      </x:c>
      <x:c r="R55" s="3" t="str">
        <x:v>区间价/多规格</x:v>
      </x:c>
      <x:c r="S55" s="3" t="str">
        <x:v>400-500/间夜</x:v>
      </x:c>
      <x:c r="T55" s="38" t="n">
        <x:v>400</x:v>
      </x:c>
      <x:c r="U55" s="38" t="n">
        <x:f>IF(ISBLANK(T55),"",ROUNDUP(T55*1.3,0))</x:f>
        <x:v>520</x:v>
      </x:c>
      <x:c r="V55" s="38" t="n">
        <x:v>400</x:v>
      </x:c>
      <x:c r="W55" s="38" t="n">
        <x:v>500</x:v>
      </x:c>
      <x:c r="X55" s="3" t="str">
        <x:v>元/间夜</x:v>
      </x:c>
      <x:c r="Y55" s="3" t="str">
        <x:v>东方本草预算400；筋骨调养400-500</x:v>
      </x:c>
      <x:c r="Z55" s="3" t="str">
        <x:v>康养文旅 p1,p22-p23</x:v>
      </x:c>
      <x:c r="AA55" s="3" t="str">
        <x:v>节假日除外，以实际房态为准</x:v>
      </x:c>
      <x:c r="AB55" s="3" t="str">
        <x:v>住宿预算</x:v>
      </x:c>
      <x:c r="AC55" s="40" t="n">
        <x:f>IF(ISBLANK(V55),"",ROUNDUP(V55*1.3,0))</x:f>
        <x:v>520</x:v>
      </x:c>
      <x:c r="AD55" s="40" t="n">
        <x:f>IF(ISBLANK(W55),"",ROUNDUP(W55*1.3,0))</x:f>
        <x:v>650</x:v>
      </x:c>
      <x:c r="AE55" s="40" t="n">
        <x:v>1.3</x:v>
      </x:c>
    </x:row>
    <x:row r="56" ht="34">
      <x:c r="A56" s="3" t="str">
        <x:v>POI055</x:v>
      </x:c>
      <x:c r="B56" s="3" t="str">
        <x:v>住宿</x:v>
      </x:c>
      <x:c r="C56" s="3" t="str">
        <x:v>酒店</x:v>
      </x:c>
      <x:c r="D56" s="3" t="str">
        <x:v>杭州</x:v>
      </x:c>
      <x:c r="E56" s="3" t="str">
        <x:v>马可波罗滨湖酒店或同级</x:v>
      </x:c>
      <x:c r="F56" s="3" t="str">
        <x:v>25</x:v>
      </x:c>
      <x:c r="G56" s="3" t="str">
        <x:v>西湖秘境</x:v>
      </x:c>
      <x:c r="H56" s="3" t="str">
        <x:v>销量款</x:v>
      </x:c>
      <x:c r="I56" s="3" t="str">
        <x:v>住宿</x:v>
      </x:c>
      <x:c r="J56" s="3" t="str">
        <x:v>休闲</x:v>
      </x:c>
      <x:c r="K56" s="3" t="str">
        <x:v>1晚</x:v>
      </x:c>
      <x:c r="L56" s="11" t="n">
        <x:v>8</x:v>
      </x:c>
      <x:c r="M56" s="3" t="str">
        <x:v>1日</x:v>
      </x:c>
      <x:c r="N56" s="12" t="n">
        <x:v>1</x:v>
      </x:c>
      <x:c r="O56" s="3" t="str">
        <x:v>25</x:v>
      </x:c>
      <x:c r="P56" s="3" t="str">
        <x:v>25</x:v>
      </x:c>
      <x:c r="Q56" s="3" t="str">
        <x:v>可选</x:v>
      </x:c>
      <x:c r="R56" s="3" t="str">
        <x:v>区间价/多规格</x:v>
      </x:c>
      <x:c r="S56" s="3" t="str">
        <x:v>300-550/间夜；预算600-900</x:v>
      </x:c>
      <x:c r="T56" s="38" t="n">
        <x:v>500</x:v>
      </x:c>
      <x:c r="U56" s="38" t="n">
        <x:f>IF(ISBLANK(T56),"",ROUNDUP(T56*1.3,0))</x:f>
        <x:v>650</x:v>
      </x:c>
      <x:c r="V56" s="38" t="n">
        <x:v>300</x:v>
      </x:c>
      <x:c r="W56" s="38" t="n">
        <x:v>900</x:v>
      </x:c>
      <x:c r="X56" s="3" t="str">
        <x:v>元/间夜</x:v>
      </x:c>
      <x:c r="Y56" s="3" t="str">
        <x:v>标准版马可波罗滨湖，PDF预算600-900/晚；报价表填500</x:v>
      </x:c>
      <x:c r="Z56" s="3" t="str">
        <x:v>康养文旅 p8-p9</x:v>
      </x:c>
      <x:c r="AA56" s="3" t="str">
        <x:v>以实际房态为准</x:v>
      </x:c>
      <x:c r="AB56" s="3" t="str">
        <x:v>住宿预算</x:v>
      </x:c>
      <x:c r="AC56" s="40" t="n">
        <x:f>IF(ISBLANK(V56),"",ROUNDUP(V56*1.3,0))</x:f>
        <x:v>390</x:v>
      </x:c>
      <x:c r="AD56" s="40" t="n">
        <x:f>IF(ISBLANK(W56),"",ROUNDUP(W56*1.3,0))</x:f>
        <x:v>1170</x:v>
      </x:c>
      <x:c r="AE56" s="40" t="n">
        <x:v>1.3</x:v>
      </x:c>
    </x:row>
    <x:row r="57" ht="17">
      <x:c r="A57" s="3" t="str">
        <x:v>POI056</x:v>
      </x:c>
      <x:c r="B57" s="3" t="str">
        <x:v>住宿</x:v>
      </x:c>
      <x:c r="C57" s="3" t="str">
        <x:v>民宿</x:v>
      </x:c>
      <x:c r="D57" s="3" t="str">
        <x:v>杭州径山</x:v>
      </x:c>
      <x:c r="E57" s="3" t="str">
        <x:v>径山周边民宿/波罗密民宿</x:v>
      </x:c>
      <x:c r="F57" s="3" t="str">
        <x:v>25</x:v>
      </x:c>
      <x:c r="G57" s="3" t="str">
        <x:v>禅茶一味</x:v>
      </x:c>
      <x:c r="H57" s="3" t="str">
        <x:v>待定</x:v>
      </x:c>
      <x:c r="I57" s="3" t="str">
        <x:v>住宿</x:v>
      </x:c>
      <x:c r="J57" s="3" t="str">
        <x:v>休闲</x:v>
      </x:c>
      <x:c r="K57" s="3" t="str">
        <x:v>1晚</x:v>
      </x:c>
      <x:c r="L57" s="11" t="n">
        <x:v>8</x:v>
      </x:c>
      <x:c r="M57" s="3" t="str">
        <x:v>1日</x:v>
      </x:c>
      <x:c r="N57" s="12" t="n">
        <x:v>1</x:v>
      </x:c>
      <x:c r="O57" s="3" t="str">
        <x:v>25</x:v>
      </x:c>
      <x:c r="P57" s="3" t="str">
        <x:v>25</x:v>
      </x:c>
      <x:c r="Q57" s="3" t="str">
        <x:v>可选</x:v>
      </x:c>
      <x:c r="R57" s="3" t="str">
        <x:v>区间价/多规格</x:v>
      </x:c>
      <x:c r="S57" s="3" t="str">
        <x:v>500-660/晚</x:v>
      </x:c>
      <x:c r="T57" s="38" t="n">
        <x:v>660</x:v>
      </x:c>
      <x:c r="U57" s="38" t="n">
        <x:f>IF(ISBLANK(T57),"",ROUNDUP(T57*1.3,0))</x:f>
        <x:v>858</x:v>
      </x:c>
      <x:c r="V57" s="38" t="n">
        <x:v>500</x:v>
      </x:c>
      <x:c r="W57" s="38" t="n">
        <x:v>660</x:v>
      </x:c>
      <x:c r="X57" s="3" t="str">
        <x:v>元/间夜</x:v>
      </x:c>
      <x:c r="Y57" s="3" t="str">
        <x:v>径山周边民宿或同级</x:v>
      </x:c>
      <x:c r="Z57" s="3" t="str">
        <x:v>康养文旅 p5</x:v>
      </x:c>
      <x:c r="AA57" s="3" t="str">
        <x:v>以实际房态为准</x:v>
      </x:c>
      <x:c r="AB57" s="3" t="str">
        <x:v>住宿预算</x:v>
      </x:c>
      <x:c r="AC57" s="40" t="n">
        <x:f>IF(ISBLANK(V57),"",ROUNDUP(V57*1.3,0))</x:f>
        <x:v>650</x:v>
      </x:c>
      <x:c r="AD57" s="40" t="n">
        <x:f>IF(ISBLANK(W57),"",ROUNDUP(W57*1.3,0))</x:f>
        <x:v>858</x:v>
      </x:c>
      <x:c r="AE57" s="40" t="n">
        <x:v>1.3</x:v>
      </x:c>
    </x:row>
    <x:row r="58" ht="34">
      <x:c r="A58" s="3" t="str">
        <x:v>POI057</x:v>
      </x:c>
      <x:c r="B58" s="3" t="str">
        <x:v>住宿</x:v>
      </x:c>
      <x:c r="C58" s="3" t="str">
        <x:v>酒店</x:v>
      </x:c>
      <x:c r="D58" s="3" t="str">
        <x:v>杭州</x:v>
      </x:c>
      <x:c r="E58" s="3" t="str">
        <x:v>杭州西湖玉泉美居酒店或同级</x:v>
      </x:c>
      <x:c r="F58" s="3" t="str">
        <x:v>25</x:v>
      </x:c>
      <x:c r="G58" s="3" t="str">
        <x:v>宋韵/心灵疗愈/龙井</x:v>
      </x:c>
      <x:c r="H58" s="3" t="str">
        <x:v>利润/待定/销量</x:v>
      </x:c>
      <x:c r="I58" s="3" t="str">
        <x:v>住宿</x:v>
      </x:c>
      <x:c r="J58" s="3" t="str">
        <x:v>休闲</x:v>
      </x:c>
      <x:c r="K58" s="3" t="str">
        <x:v>1晚</x:v>
      </x:c>
      <x:c r="L58" s="11" t="n">
        <x:v>8</x:v>
      </x:c>
      <x:c r="M58" s="3" t="str">
        <x:v>1日</x:v>
      </x:c>
      <x:c r="N58" s="12" t="n">
        <x:v>1</x:v>
      </x:c>
      <x:c r="O58" s="3" t="str">
        <x:v>25</x:v>
      </x:c>
      <x:c r="P58" s="3" t="str">
        <x:v>25</x:v>
      </x:c>
      <x:c r="Q58" s="3" t="str">
        <x:v>可选</x:v>
      </x:c>
      <x:c r="R58" s="3" t="str">
        <x:v>区间价/多规格</x:v>
      </x:c>
      <x:c r="S58" s="3" t="str">
        <x:v>630-800/间夜</x:v>
      </x:c>
      <x:c r="T58" s="38" t="n">
        <x:v>700</x:v>
      </x:c>
      <x:c r="U58" s="38" t="n">
        <x:f>IF(ISBLANK(T58),"",ROUNDUP(T58*1.3,0))</x:f>
        <x:v>910</x:v>
      </x:c>
      <x:c r="V58" s="38" t="n">
        <x:v>630</x:v>
      </x:c>
      <x:c r="W58" s="38" t="n">
        <x:v>800</x:v>
      </x:c>
      <x:c r="X58" s="3" t="str">
        <x:v>元/间夜</x:v>
      </x:c>
      <x:c r="Y58" s="3" t="str">
        <x:v>PDF中宋韵填750，心灵/龙井填700</x:v>
      </x:c>
      <x:c r="Z58" s="3" t="str">
        <x:v>康养文旅 p11-p18</x:v>
      </x:c>
      <x:c r="AA58" s="3" t="str">
        <x:v>以实际房态为准</x:v>
      </x:c>
      <x:c r="AB58" s="3" t="str">
        <x:v>住宿预算</x:v>
      </x:c>
      <x:c r="AC58" s="40" t="n">
        <x:f>IF(ISBLANK(V58),"",ROUNDUP(V58*1.3,0))</x:f>
        <x:v>819</x:v>
      </x:c>
      <x:c r="AD58" s="40" t="n">
        <x:f>IF(ISBLANK(W58),"",ROUNDUP(W58*1.3,0))</x:f>
        <x:v>1040</x:v>
      </x:c>
      <x:c r="AE58" s="40" t="n">
        <x:v>1.3</x:v>
      </x:c>
    </x:row>
    <x:row r="59" ht="17">
      <x:c r="A59" s="3" t="str">
        <x:v>POI058</x:v>
      </x:c>
      <x:c r="B59" s="3" t="str">
        <x:v>住宿</x:v>
      </x:c>
      <x:c r="C59" s="3" t="str">
        <x:v>酒店</x:v>
      </x:c>
      <x:c r="D59" s="3" t="str">
        <x:v>杭州</x:v>
      </x:c>
      <x:c r="E59" s="3" t="str">
        <x:v>灵栖铜鉴湖度假酒店</x:v>
      </x:c>
      <x:c r="F59" s="3" t="str">
        <x:v>25</x:v>
      </x:c>
      <x:c r="G59" s="3" t="str">
        <x:v>铜鉴湖花海疗愈</x:v>
      </x:c>
      <x:c r="H59" s="3" t="str">
        <x:v>引流款</x:v>
      </x:c>
      <x:c r="I59" s="3" t="str">
        <x:v>住宿</x:v>
      </x:c>
      <x:c r="J59" s="3" t="str">
        <x:v>休闲</x:v>
      </x:c>
      <x:c r="K59" s="3" t="str">
        <x:v>1晚</x:v>
      </x:c>
      <x:c r="L59" s="11" t="n">
        <x:v>8</x:v>
      </x:c>
      <x:c r="M59" s="3" t="str">
        <x:v>1日</x:v>
      </x:c>
      <x:c r="N59" s="12" t="n">
        <x:v>1</x:v>
      </x:c>
      <x:c r="O59" s="3" t="str">
        <x:v>25</x:v>
      </x:c>
      <x:c r="P59" s="3" t="str">
        <x:v>25</x:v>
      </x:c>
      <x:c r="Q59" s="3" t="str">
        <x:v>可选</x:v>
      </x:c>
      <x:c r="R59" s="3" t="str">
        <x:v>已补充</x:v>
      </x:c>
      <x:c r="S59" s="3" t="str">
        <x:v>349/间夜</x:v>
      </x:c>
      <x:c r="T59" s="38" t="n">
        <x:v>349</x:v>
      </x:c>
      <x:c r="U59" s="38" t="n">
        <x:f>IF(ISBLANK(T59),"",ROUNDUP(T59*1.3,0))</x:f>
        <x:v>454</x:v>
      </x:c>
      <x:c r="V59" s="38" t="n">
        <x:v>349</x:v>
      </x:c>
      <x:c r="W59" s="38" t="n">
        <x:v>349</x:v>
      </x:c>
      <x:c r="X59" s="3" t="str">
        <x:v>元/间夜</x:v>
      </x:c>
      <x:c r="Y59" s="3" t="str">
        <x:v>豪华大床/豪华标间门市价</x:v>
      </x:c>
      <x:c r="Z59" s="3" t="str">
        <x:v>康养文旅 p20</x:v>
      </x:c>
      <x:c r="AA59" s="3" t="str">
        <x:v>以实际房态为准</x:v>
      </x:c>
      <x:c r="AB59" s="3" t="str">
        <x:v>住宿预算</x:v>
      </x:c>
      <x:c r="AC59" s="40" t="n">
        <x:f>IF(ISBLANK(V59),"",ROUNDUP(V59*1.3,0))</x:f>
        <x:v>454</x:v>
      </x:c>
      <x:c r="AD59" s="40" t="n">
        <x:f>IF(ISBLANK(W59),"",ROUNDUP(W59*1.3,0))</x:f>
        <x:v>454</x:v>
      </x:c>
      <x:c r="AE59" s="40" t="n">
        <x:v>1.3</x:v>
      </x:c>
    </x:row>
    <x:row r="60" ht="17">
      <x:c r="A60" s="3" t="str">
        <x:v>POI059</x:v>
      </x:c>
      <x:c r="B60" s="3" t="str">
        <x:v>餐费</x:v>
      </x:c>
      <x:c r="C60" s="3" t="str">
        <x:v>餐厅</x:v>
      </x:c>
      <x:c r="D60" s="3" t="str">
        <x:v>杭州</x:v>
      </x:c>
      <x:c r="E60" s="3" t="str">
        <x:v>胡庆余堂药膳馆/王润兴餐厅</x:v>
      </x:c>
      <x:c r="F60" s="3" t="str">
        <x:v>25</x:v>
      </x:c>
      <x:c r="G60" s="3" t="str">
        <x:v>东方本草</x:v>
      </x:c>
      <x:c r="H60" s="3" t="str">
        <x:v>引流款</x:v>
      </x:c>
      <x:c r="I60" s="3" t="str">
        <x:v>餐</x:v>
      </x:c>
      <x:c r="J60" s="3" t="str">
        <x:v>休闲</x:v>
      </x:c>
      <x:c r="K60" s="3" t="str">
        <x:v>1餐</x:v>
      </x:c>
      <x:c r="L60" s="11" t="n">
        <x:v>1</x:v>
      </x:c>
      <x:c r="M60" s="3" t="str">
        <x:v>0-1小时</x:v>
      </x:c>
      <x:c r="N60" s="12" t="n">
        <x:v>0.125</x:v>
      </x:c>
      <x:c r="O60" s="3" t="str">
        <x:v>25</x:v>
      </x:c>
      <x:c r="P60" s="3" t="str">
        <x:v>25</x:v>
      </x:c>
      <x:c r="Q60" s="3" t="str">
        <x:v>必选</x:v>
      </x:c>
      <x:c r="R60" s="3" t="str">
        <x:v>区间价/多规格</x:v>
      </x:c>
      <x:c r="S60" s="3" t="str">
        <x:v>150/人</x:v>
      </x:c>
      <x:c r="T60" s="38" t="n">
        <x:v>150</x:v>
      </x:c>
      <x:c r="U60" s="38" t="n">
        <x:f>IF(ISBLANK(T60),"",ROUNDUP(T60*1.3,0))</x:f>
        <x:v>195</x:v>
      </x:c>
      <x:c r="V60" s="38" t="n">
        <x:v>80</x:v>
      </x:c>
      <x:c r="W60" s="38" t="n">
        <x:v>150</x:v>
      </x:c>
      <x:c r="X60" s="3" t="str">
        <x:v>元/人/餐</x:v>
      </x:c>
      <x:c r="Y60" s="3" t="str">
        <x:v>王润兴人均80-100；药膳标准版填150</x:v>
      </x:c>
      <x:c r="Z60" s="3" t="str">
        <x:v>康养文旅 p2</x:v>
      </x:c>
      <x:c r="AA60" s="3" t="str">
        <x:v>穆斯林用户提前告知</x:v>
      </x:c>
      <x:c r="AB60" s="3" t="str">
        <x:v>餐标预算</x:v>
      </x:c>
      <x:c r="AC60" s="40" t="n">
        <x:f>IF(ISBLANK(V60),"",ROUNDUP(V60*1.3,0))</x:f>
        <x:v>104</x:v>
      </x:c>
      <x:c r="AD60" s="40" t="n">
        <x:f>IF(ISBLANK(W60),"",ROUNDUP(W60*1.3,0))</x:f>
        <x:v>195</x:v>
      </x:c>
      <x:c r="AE60" s="40" t="n">
        <x:v>1.3</x:v>
      </x:c>
    </x:row>
    <x:row r="61" ht="17">
      <x:c r="A61" s="3" t="str">
        <x:v>POI060</x:v>
      </x:c>
      <x:c r="B61" s="3" t="str">
        <x:v>餐费</x:v>
      </x:c>
      <x:c r="C61" s="3" t="str">
        <x:v>餐厅</x:v>
      </x:c>
      <x:c r="D61" s="3" t="str">
        <x:v>杭州</x:v>
      </x:c>
      <x:c r="E61" s="3" t="str">
        <x:v>西溪宾馆午餐</x:v>
      </x:c>
      <x:c r="F61" s="3" t="str">
        <x:v>25</x:v>
      </x:c>
      <x:c r="G61" s="3" t="str">
        <x:v>西湖秘境</x:v>
      </x:c>
      <x:c r="H61" s="3" t="str">
        <x:v>销量款</x:v>
      </x:c>
      <x:c r="I61" s="3" t="str">
        <x:v>餐</x:v>
      </x:c>
      <x:c r="J61" s="3" t="str">
        <x:v>休闲</x:v>
      </x:c>
      <x:c r="K61" s="3" t="str">
        <x:v>1餐</x:v>
      </x:c>
      <x:c r="L61" s="11" t="n">
        <x:v>1</x:v>
      </x:c>
      <x:c r="M61" s="3" t="str">
        <x:v>0-1小时</x:v>
      </x:c>
      <x:c r="N61" s="12" t="n">
        <x:v>0.125</x:v>
      </x:c>
      <x:c r="O61" s="3" t="str">
        <x:v>25</x:v>
      </x:c>
      <x:c r="P61" s="3" t="str">
        <x:v>25</x:v>
      </x:c>
      <x:c r="Q61" s="3" t="str">
        <x:v>必选</x:v>
      </x:c>
      <x:c r="R61" s="3" t="str">
        <x:v>区间价/多规格</x:v>
      </x:c>
      <x:c r="S61" s="3" t="str">
        <x:v>198/218/298/人</x:v>
      </x:c>
      <x:c r="T61" s="38" t="n">
        <x:v>218</x:v>
      </x:c>
      <x:c r="U61" s="38" t="n">
        <x:f>IF(ISBLANK(T61),"",ROUNDUP(T61*1.3,0))</x:f>
        <x:v>284</x:v>
      </x:c>
      <x:c r="V61" s="38" t="n">
        <x:v>198</x:v>
      </x:c>
      <x:c r="W61" s="38" t="n">
        <x:v>298</x:v>
      </x:c>
      <x:c r="X61" s="3" t="str">
        <x:v>元/人/餐</x:v>
      </x:c>
      <x:c r="Y61" s="3" t="str">
        <x:v>标准版西溪宾馆</x:v>
      </x:c>
      <x:c r="Z61" s="3" t="str">
        <x:v>康养文旅 p8</x:v>
      </x:c>
      <x:c r="AA61" s="3" t="str">
        <x:v>可按预算切换档位</x:v>
      </x:c>
      <x:c r="AB61" s="3" t="str">
        <x:v>餐标预算</x:v>
      </x:c>
      <x:c r="AC61" s="40" t="n">
        <x:f>IF(ISBLANK(V61),"",ROUNDUP(V61*1.3,0))</x:f>
        <x:v>258</x:v>
      </x:c>
      <x:c r="AD61" s="40" t="n">
        <x:f>IF(ISBLANK(W61),"",ROUNDUP(W61*1.3,0))</x:f>
        <x:v>388</x:v>
      </x:c>
      <x:c r="AE61" s="40" t="n">
        <x:v>1.3</x:v>
      </x:c>
    </x:row>
    <x:row r="62" ht="17">
      <x:c r="A62" s="3" t="str">
        <x:v>POI061</x:v>
      </x:c>
      <x:c r="B62" s="3" t="str">
        <x:v>餐费</x:v>
      </x:c>
      <x:c r="C62" s="3" t="str">
        <x:v>餐厅</x:v>
      </x:c>
      <x:c r="D62" s="3" t="str">
        <x:v>杭州</x:v>
      </x:c>
      <x:c r="E62" s="3" t="str">
        <x:v>楼外楼/茶香主题餐</x:v>
      </x:c>
      <x:c r="F62" s="3" t="str">
        <x:v>25</x:v>
      </x:c>
      <x:c r="G62" s="3" t="str">
        <x:v>龙井/筋骨调养</x:v>
      </x:c>
      <x:c r="H62" s="3" t="str">
        <x:v>销量/利润</x:v>
      </x:c>
      <x:c r="I62" s="3" t="str">
        <x:v>餐</x:v>
      </x:c>
      <x:c r="J62" s="3" t="str">
        <x:v>休闲</x:v>
      </x:c>
      <x:c r="K62" s="3" t="str">
        <x:v>1餐</x:v>
      </x:c>
      <x:c r="L62" s="11" t="n">
        <x:v>1</x:v>
      </x:c>
      <x:c r="M62" s="3" t="str">
        <x:v>0-1小时</x:v>
      </x:c>
      <x:c r="N62" s="12" t="n">
        <x:v>0.125</x:v>
      </x:c>
      <x:c r="O62" s="3" t="str">
        <x:v>25</x:v>
      </x:c>
      <x:c r="P62" s="3" t="str">
        <x:v>25</x:v>
      </x:c>
      <x:c r="Q62" s="3" t="str">
        <x:v>可选</x:v>
      </x:c>
      <x:c r="R62" s="3" t="str">
        <x:v>区间价/多规格</x:v>
      </x:c>
      <x:c r="S62" s="3" t="str">
        <x:v>150-300/人</x:v>
      </x:c>
      <x:c r="T62" s="38" t="n">
        <x:v>250</x:v>
      </x:c>
      <x:c r="U62" s="38" t="n">
        <x:f>IF(ISBLANK(T62),"",ROUNDUP(T62*1.3,0))</x:f>
        <x:v>325</x:v>
      </x:c>
      <x:c r="V62" s="38" t="n">
        <x:v>150</x:v>
      </x:c>
      <x:c r="W62" s="38" t="n">
        <x:v>300</x:v>
      </x:c>
      <x:c r="X62" s="3" t="str">
        <x:v>元/人/餐</x:v>
      </x:c>
      <x:c r="Y62" s="3" t="str">
        <x:v>楼外楼/龙坞茶香农家菜</x:v>
      </x:c>
      <x:c r="Z62" s="3" t="str">
        <x:v>康养文旅 p18,p23</x:v>
      </x:c>
      <x:c r="AA62" s="3" t="str">
        <x:v>可按预算切换</x:v>
      </x:c>
      <x:c r="AB62" s="3" t="str">
        <x:v>餐标预算</x:v>
      </x:c>
      <x:c r="AC62" s="40" t="n">
        <x:f>IF(ISBLANK(V62),"",ROUNDUP(V62*1.3,0))</x:f>
        <x:v>195</x:v>
      </x:c>
      <x:c r="AD62" s="40" t="n">
        <x:f>IF(ISBLANK(W62),"",ROUNDUP(W62*1.3,0))</x:f>
        <x:v>390</x:v>
      </x:c>
      <x:c r="AE62" s="40" t="n">
        <x:v>1.3</x:v>
      </x:c>
    </x:row>
    <x:row r="63" ht="34">
      <x:c r="A63" s="3" t="str">
        <x:v>POI062</x:v>
      </x:c>
      <x:c r="B63" s="3" t="str">
        <x:v>伴手礼</x:v>
      </x:c>
      <x:c r="C63" s="3" t="str">
        <x:v>礼品</x:v>
      </x:c>
      <x:c r="D63" s="3" t="str">
        <x:v>通用</x:v>
      </x:c>
      <x:c r="E63" s="3" t="str">
        <x:v>丝巾+茶叶通用伴手礼</x:v>
      </x:c>
      <x:c r="F63" s="3" t="str">
        <x:v>25</x:v>
      </x:c>
      <x:c r="G63" s="3" t="str">
        <x:v>多线路</x:v>
      </x:c>
      <x:c r="H63" s="3" t="str">
        <x:v>通用</x:v>
      </x:c>
      <x:c r="I63" s="3" t="str">
        <x:v>伴手礼</x:v>
      </x:c>
      <x:c r="J63" s="3" t="str">
        <x:v>休闲</x:v>
      </x:c>
      <x:c r="K63" s="3" t="str">
        <x:v>25</x:v>
      </x:c>
      <x:c r="L63" s="11"/>
      <x:c r="M63" s="3" t="str">
        <x:v>不限</x:v>
      </x:c>
      <x:c r="N63" s="12"/>
      <x:c r="O63" s="3" t="str">
        <x:v>25</x:v>
      </x:c>
      <x:c r="P63" s="3" t="str">
        <x:v>25</x:v>
      </x:c>
      <x:c r="Q63" s="3" t="str">
        <x:v>可选</x:v>
      </x:c>
      <x:c r="R63" s="3" t="str">
        <x:v>已补充</x:v>
      </x:c>
      <x:c r="S63" s="3" t="str">
        <x:v>100/人</x:v>
      </x:c>
      <x:c r="T63" s="38" t="n">
        <x:v>100</x:v>
      </x:c>
      <x:c r="U63" s="38" t="n">
        <x:f>IF(ISBLANK(T63),"",ROUNDUP(T63*1.3,0))</x:f>
        <x:v>130</x:v>
      </x:c>
      <x:c r="V63" s="38" t="n">
        <x:v>100</x:v>
      </x:c>
      <x:c r="W63" s="38" t="n">
        <x:v>100</x:v>
      </x:c>
      <x:c r="X63" s="3" t="str">
        <x:v>元/人</x:v>
      </x:c>
      <x:c r="Y63" s="3" t="str">
        <x:v>多条路线默认伴手礼</x:v>
      </x:c>
      <x:c r="Z63" s="3" t="str">
        <x:v>康养文旅 p4,p7,p9,p12,p18,p24</x:v>
      </x:c>
      <x:c r="AA63" s="3" t="str">
        <x:v>可替换为路线主题礼盒</x:v>
      </x:c>
      <x:c r="AB63" s="3" t="str">
        <x:v>伴手礼预算</x:v>
      </x:c>
      <x:c r="AC63" s="40" t="n">
        <x:f>IF(ISBLANK(V63),"",ROUNDUP(V63*1.3,0))</x:f>
        <x:v>130</x:v>
      </x:c>
      <x:c r="AD63" s="40" t="n">
        <x:f>IF(ISBLANK(W63),"",ROUNDUP(W63*1.3,0))</x:f>
        <x:v>130</x:v>
      </x:c>
      <x:c r="AE63" s="40" t="n">
        <x:v>1.3</x:v>
      </x:c>
    </x:row>
  </x:sheetData>
  <x:conditionalFormatting sqref="R2:R63">
    <x:cfRule type="expression" dxfId="0" priority="1">
      <x:formula>R2="待确认"</x:formula>
    </x:cfRule>
    <x:cfRule type="expression" dxfId="1" priority="2">
      <x:formula>R2="部分补充"</x:formula>
    </x:cfRule>
    <x:cfRule type="expression" dxfId="2" priority="3">
      <x:formula>R2="已补充"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0aae30ce974f60"/>
  </x:tableParts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0" customWidth="1"/>
    <x:col min="2" max="2" width="28" customWidth="1"/>
    <x:col min="3" max="3" width="30" customWidth="1"/>
    <x:col min="4" max="4" width="10" customWidth="1"/>
    <x:col min="5" max="5" width="36" customWidth="1"/>
    <x:col min="6" max="6" width="45" customWidth="1"/>
    <x:col min="7" max="7" width="18" customWidth="1"/>
    <x:col min="8" max="8" width="10" customWidth="1"/>
    <x:col min="9" max="10" width="16" customWidth="1"/>
    <x:col min="11" max="21" width="12" customWidth="1"/>
    <x:col min="22" max="23" width="32" customWidth="1"/>
    <x:col min="24" max="24" width="18" customWidth="1"/>
    <x:col min="25" max="25" width="30" customWidth="1"/>
  </x:cols>
  <x:sheetData>
    <x:row r="1">
      <x:c r="A1" s="2" t="s">
        <x:v>24</x:v>
      </x:c>
      <x:c r="B1" s="2" t="s">
        <x:v>25</x:v>
      </x:c>
      <x:c r="C1" s="2" t="s">
        <x:v>26</x:v>
      </x:c>
      <x:c r="D1" s="2" t="s">
        <x:v>27</x:v>
      </x:c>
      <x:c r="E1" s="2" t="s">
        <x:v>28</x:v>
      </x:c>
      <x:c r="F1" s="2" t="s">
        <x:v>29</x:v>
      </x:c>
      <x:c r="G1" s="2" t="s">
        <x:v>30</x:v>
      </x:c>
      <x:c r="H1" s="2" t="s">
        <x:v>31</x:v>
      </x:c>
      <x:c r="I1" s="2" t="s">
        <x:v>32</x:v>
      </x:c>
      <x:c r="J1" s="2" t="s">
        <x:v>33</x:v>
      </x:c>
      <x:c r="K1" s="2" t="s">
        <x:v>34</x:v>
      </x:c>
      <x:c r="L1" s="2" t="s">
        <x:v>35</x:v>
      </x:c>
      <x:c r="M1" s="2" t="s">
        <x:v>36</x:v>
      </x:c>
      <x:c r="N1" s="2" t="s">
        <x:v>37</x:v>
      </x:c>
      <x:c r="O1" s="2" t="s">
        <x:v>38</x:v>
      </x:c>
      <x:c r="P1" s="2" t="s">
        <x:v>39</x:v>
      </x:c>
      <x:c r="Q1" s="2" t="s">
        <x:v>40</x:v>
      </x:c>
      <x:c r="R1" s="2" t="s">
        <x:v>41</x:v>
      </x:c>
      <x:c r="S1" s="2" t="s">
        <x:v>42</x:v>
      </x:c>
      <x:c r="T1" s="2" t="s">
        <x:v>43</x:v>
      </x:c>
      <x:c r="U1" s="2" t="s">
        <x:v>10</x:v>
      </x:c>
      <x:c r="V1" s="2" t="s">
        <x:v>44</x:v>
      </x:c>
      <x:c r="W1" s="2" t="s">
        <x:v>45</x:v>
      </x:c>
      <x:c r="X1" s="2" t="s">
        <x:v>46</x:v>
      </x:c>
      <x:c r="Y1" s="2" t="s">
        <x:v>47</x:v>
      </x:c>
    </x:row>
    <x:row r="2" ht="17">
      <x:c r="A2" s="3" t="s">
        <x:v>48</x:v>
      </x:c>
      <x:c r="B2" s="3" t="s">
        <x:v>49</x:v>
      </x:c>
      <x:c r="C2" s="3" t="s">
        <x:v>50</x:v>
      </x:c>
      <x:c r="D2" s="3" t="s">
        <x:v>51</x:v>
      </x:c>
      <x:c r="E2" s="3" t="s">
        <x:v>52</x:v>
      </x:c>
      <x:c r="F2" s="3" t="s">
        <x:v>53</x:v>
      </x:c>
      <x:c r="G2" s="3" t="s">
        <x:v>54</x:v>
      </x:c>
      <x:c r="H2" s="3">
        <x:v>1</x:v>
      </x:c>
      <x:c r="I2" s="3" t="s">
        <x:v>55</x:v>
      </x:c>
      <x:c r="J2" s="3" t="s">
        <x:v>56</x:v>
      </x:c>
      <x:c r="K2" s="4">
        <x:v>2875</x:v>
      </x:c>
      <x:c r="L2" s="4">
        <x:v>975</x:v>
      </x:c>
      <x:c r="M2" s="4">
        <x:v>775</x:v>
      </x:c>
      <x:c r="N2" s="4">
        <x:v>6325</x:v>
      </x:c>
      <x:c r="O2" s="4">
        <x:v>9075</x:v>
      </x:c>
      <x:c r="P2" s="4">
        <x:v>3162</x:v>
      </x:c>
      <x:c r="Q2" s="4">
        <x:v>1072</x:v>
      </x:c>
      <x:c r="R2" s="4">
        <x:v>852</x:v>
      </x:c>
      <x:c r="S2" s="4">
        <x:v>6958</x:v>
      </x:c>
      <x:c r="T2" s="4">
        <x:v>9983</x:v>
      </x:c>
      <x:c r="U2" s="3" t="s">
        <x:v>57</x:v>
      </x:c>
      <x:c r="V2" s="3" t="s">
        <x:v>58</x:v>
      </x:c>
      <x:c r="W2" s="3" t="s">
        <x:v>59</x:v>
      </x:c>
      <x:c r="X2" s="3" t="s">
        <x:v>60</x:v>
      </x:c>
      <x:c r="Y2" s="3" t="s">
        <x:v>61</x:v>
      </x:c>
    </x:row>
    <x:row r="3" ht="34">
      <x:c r="A3" s="3" t="s">
        <x:v>62</x:v>
      </x:c>
      <x:c r="B3" s="3" t="s">
        <x:v>63</x:v>
      </x:c>
      <x:c r="C3" s="3" t="s">
        <x:v>64</x:v>
      </x:c>
      <x:c r="D3" s="3" t="s">
        <x:v>65</x:v>
      </x:c>
      <x:c r="E3" s="3" t="s">
        <x:v>66</x:v>
      </x:c>
      <x:c r="F3" s="3" t="s">
        <x:v>67</x:v>
      </x:c>
      <x:c r="G3" s="3" t="s">
        <x:v>68</x:v>
      </x:c>
      <x:c r="H3" s="3">
        <x:v>1</x:v>
      </x:c>
      <x:c r="I3" s="3" t="s">
        <x:v>69</x:v>
      </x:c>
      <x:c r="J3" s="3" t="s">
        <x:v>70</x:v>
      </x:c>
      <x:c r="K3" s="4">
        <x:v>2875</x:v>
      </x:c>
      <x:c r="L3" s="4">
        <x:v>975</x:v>
      </x:c>
      <x:c r="M3" s="4">
        <x:v>775</x:v>
      </x:c>
      <x:c r="N3" s="4">
        <x:v>5725</x:v>
      </x:c>
      <x:c r="O3" s="4">
        <x:v>7775</x:v>
      </x:c>
      <x:c r="P3" s="4"/>
      <x:c r="Q3" s="4"/>
      <x:c r="R3" s="4"/>
      <x:c r="S3" s="4"/>
      <x:c r="T3" s="4"/>
      <x:c r="U3" s="3" t="s">
        <x:v>71</x:v>
      </x:c>
      <x:c r="V3" s="3" t="s">
        <x:v>72</x:v>
      </x:c>
      <x:c r="W3" s="3" t="s">
        <x:v>73</x:v>
      </x:c>
      <x:c r="X3" s="3" t="s">
        <x:v>74</x:v>
      </x:c>
      <x:c r="Y3" s="3" t="s">
        <x:v>75</x:v>
      </x:c>
    </x:row>
    <x:row r="4" ht="17">
      <x:c r="A4" s="3" t="s">
        <x:v>76</x:v>
      </x:c>
      <x:c r="B4" s="3" t="s">
        <x:v>77</x:v>
      </x:c>
      <x:c r="C4" s="3" t="s">
        <x:v>78</x:v>
      </x:c>
      <x:c r="D4" s="3" t="s">
        <x:v>79</x:v>
      </x:c>
      <x:c r="E4" s="3" t="s">
        <x:v>80</x:v>
      </x:c>
      <x:c r="F4" s="3" t="s">
        <x:v>81</x:v>
      </x:c>
      <x:c r="G4" s="3" t="s">
        <x:v>82</x:v>
      </x:c>
      <x:c r="H4" s="3">
        <x:v>1</x:v>
      </x:c>
      <x:c r="I4" s="3" t="s">
        <x:v>83</x:v>
      </x:c>
      <x:c r="J4" s="3" t="s">
        <x:v>56</x:v>
      </x:c>
      <x:c r="K4" s="4">
        <x:v>3129</x:v>
      </x:c>
      <x:c r="L4" s="4">
        <x:v>681</x:v>
      </x:c>
      <x:c r="M4" s="4">
        <x:v>561</x:v>
      </x:c>
      <x:c r="N4" s="4">
        <x:v>6570</x:v>
      </x:c>
      <x:c r="O4" s="4">
        <x:v>9530</x:v>
      </x:c>
      <x:c r="P4" s="4">
        <x:v>4067</x:v>
      </x:c>
      <x:c r="Q4" s="4">
        <x:v>885</x:v>
      </x:c>
      <x:c r="R4" s="4">
        <x:v>729</x:v>
      </x:c>
      <x:c r="S4" s="4">
        <x:v>8541</x:v>
      </x:c>
      <x:c r="T4" s="4">
        <x:v>12389</x:v>
      </x:c>
      <x:c r="U4" s="3" t="s">
        <x:v>57</x:v>
      </x:c>
      <x:c r="V4" s="3" t="s">
        <x:v>84</x:v>
      </x:c>
      <x:c r="W4" s="3" t="s">
        <x:v>85</x:v>
      </x:c>
      <x:c r="X4" s="3" t="s">
        <x:v>86</x:v>
      </x:c>
      <x:c r="Y4" s="3" t="s">
        <x:v>79</x:v>
      </x:c>
    </x:row>
    <x:row r="5" ht="34">
      <x:c r="A5" s="3" t="s">
        <x:v>87</x:v>
      </x:c>
      <x:c r="B5" s="3" t="s">
        <x:v>88</x:v>
      </x:c>
      <x:c r="C5" s="3" t="s">
        <x:v>89</x:v>
      </x:c>
      <x:c r="D5" s="3" t="s">
        <x:v>90</x:v>
      </x:c>
      <x:c r="E5" s="3" t="s">
        <x:v>91</x:v>
      </x:c>
      <x:c r="F5" s="3" t="s">
        <x:v>92</x:v>
      </x:c>
      <x:c r="G5" s="3" t="s">
        <x:v>93</x:v>
      </x:c>
      <x:c r="H5" s="3">
        <x:v>1</x:v>
      </x:c>
      <x:c r="I5" s="3" t="s">
        <x:v>69</x:v>
      </x:c>
      <x:c r="J5" s="3" t="s">
        <x:v>94</x:v>
      </x:c>
      <x:c r="K5" s="4">
        <x:v>4102</x:v>
      </x:c>
      <x:c r="L5" s="4">
        <x:v>1404</x:v>
      </x:c>
      <x:c r="M5" s="4">
        <x:v>1054</x:v>
      </x:c>
      <x:c r="N5" s="4">
        <x:v>9314</x:v>
      </x:c>
      <x:c r="O5" s="4">
        <x:v>13720</x:v>
      </x:c>
      <x:c r="P5" s="4">
        <x:v>6153</x:v>
      </x:c>
      <x:c r="Q5" s="4">
        <x:v>2106</x:v>
      </x:c>
      <x:c r="R5" s="4">
        <x:v>1581</x:v>
      </x:c>
      <x:c r="S5" s="4">
        <x:v>13971</x:v>
      </x:c>
      <x:c r="T5" s="4">
        <x:v>20580</x:v>
      </x:c>
      <x:c r="U5" s="3" t="s">
        <x:v>57</x:v>
      </x:c>
      <x:c r="V5" s="3" t="s">
        <x:v>95</x:v>
      </x:c>
      <x:c r="W5" s="3" t="s">
        <x:v>96</x:v>
      </x:c>
      <x:c r="X5" s="3" t="s">
        <x:v>97</x:v>
      </x:c>
      <x:c r="Y5" s="3" t="s">
        <x:v>90</x:v>
      </x:c>
    </x:row>
    <x:row r="6" ht="34">
      <x:c r="A6" s="3" t="s">
        <x:v>98</x:v>
      </x:c>
      <x:c r="B6" s="3" t="s">
        <x:v>99</x:v>
      </x:c>
      <x:c r="C6" s="3" t="s">
        <x:v>100</x:v>
      </x:c>
      <x:c r="D6" s="3" t="s">
        <x:v>65</x:v>
      </x:c>
      <x:c r="E6" s="3" t="s">
        <x:v>101</x:v>
      </x:c>
      <x:c r="F6" s="3" t="s">
        <x:v>102</x:v>
      </x:c>
      <x:c r="G6" s="3" t="s">
        <x:v>103</x:v>
      </x:c>
      <x:c r="H6" s="3">
        <x:v>1</x:v>
      </x:c>
      <x:c r="I6" s="3" t="s">
        <x:v>69</x:v>
      </x:c>
      <x:c r="J6" s="3" t="s">
        <x:v>56</x:v>
      </x:c>
      <x:c r="K6" s="4">
        <x:v>4754</x:v>
      </x:c>
      <x:c r="L6" s="4">
        <x:v>1354</x:v>
      </x:c>
      <x:c r="M6" s="4">
        <x:v>1234</x:v>
      </x:c>
      <x:c r="N6" s="4">
        <x:v>5554</x:v>
      </x:c>
      <x:c r="O6" s="4">
        <x:v>6554</x:v>
      </x:c>
      <x:c r="P6" s="4"/>
      <x:c r="Q6" s="4"/>
      <x:c r="R6" s="4"/>
      <x:c r="S6" s="4"/>
      <x:c r="T6" s="4"/>
      <x:c r="U6" s="3" t="s">
        <x:v>71</x:v>
      </x:c>
      <x:c r="V6" s="3" t="s">
        <x:v>104</x:v>
      </x:c>
      <x:c r="W6" s="3" t="s">
        <x:v>105</x:v>
      </x:c>
      <x:c r="X6" s="3" t="s">
        <x:v>106</x:v>
      </x:c>
      <x:c r="Y6" s="3" t="s">
        <x:v>107</x:v>
      </x:c>
    </x:row>
    <x:row r="7" ht="34">
      <x:c r="A7" s="3" t="s">
        <x:v>108</x:v>
      </x:c>
      <x:c r="B7" s="3" t="s">
        <x:v>109</x:v>
      </x:c>
      <x:c r="C7" s="3" t="s">
        <x:v>110</x:v>
      </x:c>
      <x:c r="D7" s="3" t="s">
        <x:v>79</x:v>
      </x:c>
      <x:c r="E7" s="3" t="s">
        <x:v>111</x:v>
      </x:c>
      <x:c r="F7" s="3" t="s">
        <x:v>112</x:v>
      </x:c>
      <x:c r="G7" s="3" t="s">
        <x:v>113</x:v>
      </x:c>
      <x:c r="H7" s="3">
        <x:v>1</x:v>
      </x:c>
      <x:c r="I7" s="3" t="s">
        <x:v>69</x:v>
      </x:c>
      <x:c r="J7" s="3" t="s">
        <x:v>56</x:v>
      </x:c>
      <x:c r="K7" s="4">
        <x:v>3426</x:v>
      </x:c>
      <x:c r="L7" s="4">
        <x:v>1376</x:v>
      </x:c>
      <x:c r="M7" s="4">
        <x:v>1196</x:v>
      </x:c>
      <x:c r="N7" s="4">
        <x:v>8354</x:v>
      </x:c>
      <x:c r="O7" s="4">
        <x:v>12406</x:v>
      </x:c>
      <x:c r="P7" s="4">
        <x:v>4454</x:v>
      </x:c>
      <x:c r="Q7" s="4">
        <x:v>1789</x:v>
      </x:c>
      <x:c r="R7" s="4">
        <x:v>1555</x:v>
      </x:c>
      <x:c r="S7" s="4">
        <x:v>10860</x:v>
      </x:c>
      <x:c r="T7" s="4">
        <x:v>16128</x:v>
      </x:c>
      <x:c r="U7" s="3" t="s">
        <x:v>57</x:v>
      </x:c>
      <x:c r="V7" s="3" t="s">
        <x:v>114</x:v>
      </x:c>
      <x:c r="W7" s="3" t="s">
        <x:v>115</x:v>
      </x:c>
      <x:c r="X7" s="3" t="s">
        <x:v>116</x:v>
      </x:c>
      <x:c r="Y7" s="3" t="s">
        <x:v>79</x:v>
      </x:c>
    </x:row>
    <x:row r="8" ht="34">
      <x:c r="A8" s="3" t="s">
        <x:v>117</x:v>
      </x:c>
      <x:c r="B8" s="3" t="s">
        <x:v>118</x:v>
      </x:c>
      <x:c r="C8" s="3" t="s">
        <x:v>119</x:v>
      </x:c>
      <x:c r="D8" s="3" t="s">
        <x:v>51</x:v>
      </x:c>
      <x:c r="E8" s="3" t="s">
        <x:v>120</x:v>
      </x:c>
      <x:c r="F8" s="3" t="s">
        <x:v>121</x:v>
      </x:c>
      <x:c r="G8" s="3" t="s">
        <x:v>122</x:v>
      </x:c>
      <x:c r="H8" s="3">
        <x:v>2</x:v>
      </x:c>
      <x:c r="I8" s="3" t="s">
        <x:v>123</x:v>
      </x:c>
      <x:c r="J8" s="3" t="s">
        <x:v>124</x:v>
      </x:c>
      <x:c r="K8" s="4">
        <x:v>2082</x:v>
      </x:c>
      <x:c r="L8" s="4">
        <x:v>790</x:v>
      </x:c>
      <x:c r="M8" s="4">
        <x:v>458</x:v>
      </x:c>
      <x:c r="N8" s="4">
        <x:v>3604</x:v>
      </x:c>
      <x:c r="O8" s="4">
        <x:v>5156</x:v>
      </x:c>
      <x:c r="P8" s="4">
        <x:v>2290</x:v>
      </x:c>
      <x:c r="Q8" s="4">
        <x:v>869</x:v>
      </x:c>
      <x:c r="R8" s="4">
        <x:v>504</x:v>
      </x:c>
      <x:c r="S8" s="4">
        <x:v>3965</x:v>
      </x:c>
      <x:c r="T8" s="4">
        <x:v>5672</x:v>
      </x:c>
      <x:c r="U8" s="3" t="s">
        <x:v>57</x:v>
      </x:c>
      <x:c r="V8" s="3" t="s">
        <x:v>125</x:v>
      </x:c>
      <x:c r="W8" s="3" t="s">
        <x:v>126</x:v>
      </x:c>
      <x:c r="X8" s="3" t="s">
        <x:v>127</x:v>
      </x:c>
      <x:c r="Y8" s="3" t="s">
        <x:v>128</x:v>
      </x:c>
    </x:row>
    <x:row r="9" ht="34">
      <x:c r="A9" s="3" t="s">
        <x:v>129</x:v>
      </x:c>
      <x:c r="B9" s="3" t="s">
        <x:v>130</x:v>
      </x:c>
      <x:c r="C9" s="3" t="s">
        <x:v>131</x:v>
      </x:c>
      <x:c r="D9" s="3" t="s">
        <x:v>90</x:v>
      </x:c>
      <x:c r="E9" s="3" t="s">
        <x:v>132</x:v>
      </x:c>
      <x:c r="F9" s="3" t="s">
        <x:v>133</x:v>
      </x:c>
      <x:c r="G9" s="3" t="s">
        <x:v>134</x:v>
      </x:c>
      <x:c r="H9" s="3">
        <x:v>1</x:v>
      </x:c>
      <x:c r="I9" s="3" t="s">
        <x:v>135</x:v>
      </x:c>
      <x:c r="J9" s="3" t="s">
        <x:v>56</x:v>
      </x:c>
      <x:c r="K9" s="4">
        <x:v>3830</x:v>
      </x:c>
      <x:c r="L9" s="4">
        <x:v>1060</x:v>
      </x:c>
      <x:c r="M9" s="4">
        <x:v>850</x:v>
      </x:c>
      <x:c r="N9" s="4">
        <x:v>7720</x:v>
      </x:c>
      <x:c r="O9" s="4">
        <x:v>10780</x:v>
      </x:c>
      <x:c r="P9" s="4">
        <x:v>5745</x:v>
      </x:c>
      <x:c r="Q9" s="4">
        <x:v>1590</x:v>
      </x:c>
      <x:c r="R9" s="4">
        <x:v>1275</x:v>
      </x:c>
      <x:c r="S9" s="4">
        <x:v>11580</x:v>
      </x:c>
      <x:c r="T9" s="4">
        <x:v>16170</x:v>
      </x:c>
      <x:c r="U9" s="3" t="s">
        <x:v>57</x:v>
      </x:c>
      <x:c r="V9" s="3" t="s">
        <x:v>136</x:v>
      </x:c>
      <x:c r="W9" s="3" t="s">
        <x:v>115</x:v>
      </x:c>
      <x:c r="X9" s="3" t="s">
        <x:v>137</x:v>
      </x:c>
      <x:c r="Y9" s="3" t="s">
        <x:v>90</x:v>
      </x:c>
    </x:row>
  </x:sheetData>
  <x:pageMargins left="0.7" right="0.7" top="0.75" bottom="0.75" header="0.3" footer="0.3"/>
  <x:tableParts count="1">
    <x:tablePart xmlns:r="http://schemas.openxmlformats.org/officeDocument/2006/relationships" r:id="R541c345b4f014c8d"/>
  </x:tableParts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1" width="10" customWidth="1"/>
    <x:col min="2" max="2" width="18" customWidth="1"/>
    <x:col min="3" max="3" width="30" customWidth="1"/>
    <x:col min="4" max="5" width="14" customWidth="1"/>
    <x:col min="6" max="6" width="10" customWidth="1"/>
    <x:col min="7" max="7" width="14" customWidth="1"/>
    <x:col min="8" max="9" width="16" customWidth="1"/>
    <x:col min="10" max="10" width="55" customWidth="1"/>
    <x:col min="11" max="11" width="18" customWidth="1"/>
    <x:col min="12" max="12" width="38" customWidth="1"/>
  </x:cols>
  <x:sheetData>
    <x:row r="1">
      <x:c r="A1" s="2" t="s">
        <x:v>138</x:v>
      </x:c>
      <x:c r="B1" s="2" t="s">
        <x:v>139</x:v>
      </x:c>
      <x:c r="C1" s="2" t="s">
        <x:v>140</x:v>
      </x:c>
      <x:c r="D1" s="2" t="s">
        <x:v>141</x:v>
      </x:c>
      <x:c r="E1" s="2" t="s">
        <x:v>142</x:v>
      </x:c>
      <x:c r="F1" s="2" t="s">
        <x:v>143</x:v>
      </x:c>
      <x:c r="G1" s="2" t="s">
        <x:v>144</x:v>
      </x:c>
      <x:c r="H1" s="2" t="s">
        <x:v>145</x:v>
      </x:c>
      <x:c r="I1" s="2" t="s">
        <x:v>146</x:v>
      </x:c>
      <x:c r="J1" s="2" t="s">
        <x:v>147</x:v>
      </x:c>
      <x:c r="K1" s="2" t="s">
        <x:v>46</x:v>
      </x:c>
      <x:c r="L1" s="2" t="s">
        <x:v>47</x:v>
      </x:c>
    </x:row>
    <x:row r="2" ht="34">
      <x:c r="A2" s="3" t="s">
        <x:v>148</x:v>
      </x:c>
      <x:c r="B2" s="3" t="s">
        <x:v>149</x:v>
      </x:c>
      <x:c r="C2" s="3" t="s">
        <x:v>150</x:v>
      </x:c>
      <x:c r="D2" s="3" t="s">
        <x:v>151</x:v>
      </x:c>
      <x:c r="E2" s="3" t="s">
        <x:v>152</x:v>
      </x:c>
      <x:c r="F2" s="3">
        <x:v>1</x:v>
      </x:c>
      <x:c r="G2" s="4">
        <x:v>2799</x:v>
      </x:c>
      <x:c r="H2" s="4">
        <x:v>2799</x:v>
      </x:c>
      <x:c r="I2" s="4">
        <x:v>3050</x:v>
      </x:c>
      <x:c r="J2" s="3" t="s">
        <x:v>153</x:v>
      </x:c>
      <x:c r="K2" s="3" t="s">
        <x:v>154</x:v>
      </x:c>
      <x:c r="L2" s="3" t="s">
        <x:v>155</x:v>
      </x:c>
    </x:row>
    <x:row r="3" ht="34">
      <x:c r="A3" s="3" t="s">
        <x:v>156</x:v>
      </x:c>
      <x:c r="B3" s="3" t="s">
        <x:v>157</x:v>
      </x:c>
      <x:c r="C3" s="3" t="s">
        <x:v>158</x:v>
      </x:c>
      <x:c r="D3" s="3" t="s">
        <x:v>159</x:v>
      </x:c>
      <x:c r="E3" s="3" t="s">
        <x:v>152</x:v>
      </x:c>
      <x:c r="F3" s="3">
        <x:v>1</x:v>
      </x:c>
      <x:c r="G3" s="4">
        <x:v>6199</x:v>
      </x:c>
      <x:c r="H3" s="4">
        <x:v>6299</x:v>
      </x:c>
      <x:c r="I3" s="4">
        <x:v>6699</x:v>
      </x:c>
      <x:c r="J3" s="3" t="s">
        <x:v>160</x:v>
      </x:c>
      <x:c r="K3" s="3" t="s">
        <x:v>161</x:v>
      </x:c>
      <x:c r="L3" s="3" t="s">
        <x:v>162</x:v>
      </x:c>
    </x:row>
    <x:row r="4" ht="34">
      <x:c r="A4" s="3" t="s">
        <x:v>163</x:v>
      </x:c>
      <x:c r="B4" s="3" t="s">
        <x:v>164</x:v>
      </x:c>
      <x:c r="C4" s="3" t="s">
        <x:v>165</x:v>
      </x:c>
      <x:c r="D4" s="3" t="s">
        <x:v>166</x:v>
      </x:c>
      <x:c r="E4" s="3" t="s">
        <x:v>152</x:v>
      </x:c>
      <x:c r="F4" s="3">
        <x:v>0.5</x:v>
      </x:c>
      <x:c r="G4" s="4">
        <x:v>8299</x:v>
      </x:c>
      <x:c r="H4" s="4">
        <x:v>8499</x:v>
      </x:c>
      <x:c r="I4" s="4">
        <x:v>8999</x:v>
      </x:c>
      <x:c r="J4" s="3" t="s">
        <x:v>167</x:v>
      </x:c>
      <x:c r="K4" s="3" t="s">
        <x:v>168</x:v>
      </x:c>
      <x:c r="L4" s="3" t="s">
        <x:v>169</x:v>
      </x:c>
    </x:row>
    <x:row r="5" ht="17">
      <x:c r="A5" s="3" t="s">
        <x:v>170</x:v>
      </x:c>
      <x:c r="B5" s="3" t="s">
        <x:v>171</x:v>
      </x:c>
      <x:c r="C5" s="3" t="s">
        <x:v>172</x:v>
      </x:c>
      <x:c r="D5" s="3" t="s">
        <x:v>173</x:v>
      </x:c>
      <x:c r="E5" s="3" t="s">
        <x:v>174</x:v>
      </x:c>
      <x:c r="F5" s="3">
        <x:v>2</x:v>
      </x:c>
      <x:c r="G5" s="4"/>
      <x:c r="H5" s="4"/>
      <x:c r="I5" s="4"/>
      <x:c r="J5" s="3" t="s">
        <x:v>175</x:v>
      </x:c>
      <x:c r="K5" s="3" t="s">
        <x:v>176</x:v>
      </x:c>
      <x:c r="L5" s="3" t="s">
        <x:v>177</x:v>
      </x:c>
    </x:row>
  </x:sheetData>
  <x:pageMargins left="0.7" right="0.7" top="0.75" bottom="0.75" header="0.3" footer="0.3"/>
  <x:tableParts count="1">
    <x:tablePart xmlns:r="http://schemas.openxmlformats.org/officeDocument/2006/relationships" r:id="R4114906f44eb4794"/>
  </x:tableParts>
</x:worksheet>
</file>

<file path=xl/worksheets/sheet5.xml><?xml version="1.0" encoding="utf-8"?>
<x:worksheet xmlns:x="http://schemas.openxmlformats.org/spreadsheetml/2006/main">
  <x:sheetFormatPr defaultColWidth="9" defaultRowHeight="16.799999237060547"/>
  <x:cols>
    <x:col min="1" max="1" width="10" customWidth="1"/>
    <x:col min="2" max="2" width="20" customWidth="1"/>
    <x:col min="3" max="3" width="28" customWidth="1"/>
    <x:col min="4" max="7" width="12" customWidth="1"/>
    <x:col min="8" max="8" width="14" customWidth="1"/>
    <x:col min="9" max="9" width="18" customWidth="1"/>
    <x:col min="10" max="10" width="40" customWidth="1"/>
  </x:cols>
  <x:sheetData>
    <x:row r="1">
      <x:c r="A1" s="26" t="s">
        <x:v>178</x:v>
      </x:c>
      <x:c r="B1" s="26" t="s">
        <x:v>179</x:v>
      </x:c>
      <x:c r="C1" s="26" t="s">
        <x:v>180</x:v>
      </x:c>
      <x:c r="D1" s="26" t="s">
        <x:v>181</x:v>
      </x:c>
      <x:c r="E1" s="26" t="s">
        <x:v>182</x:v>
      </x:c>
      <x:c r="F1" s="26" t="s">
        <x:v>183</x:v>
      </x:c>
      <x:c r="G1" s="26" t="s">
        <x:v>184</x:v>
      </x:c>
      <x:c r="H1" s="26" t="s">
        <x:v>185</x:v>
      </x:c>
      <x:c r="I1" s="26" t="s">
        <x:v>46</x:v>
      </x:c>
      <x:c r="J1" s="26" t="s">
        <x:v>47</x:v>
      </x:c>
    </x:row>
    <x:row r="2" ht="34">
      <x:c r="A2" s="3" t="s">
        <x:v>186</x:v>
      </x:c>
      <x:c r="B2" s="3" t="s">
        <x:v>187</x:v>
      </x:c>
      <x:c r="C2" s="3" t="s">
        <x:v>188</x:v>
      </x:c>
      <x:c r="D2" s="38">
        <x:v>1800</x:v>
      </x:c>
      <x:c r="E2" s="38" t="n">
        <x:f>IF(ISBLANK(D2),"",ROUNDUP(D2*1.3,0))</x:f>
        <x:v>2340</x:v>
      </x:c>
      <x:c r="F2" s="38">
        <x:v>1800</x:v>
      </x:c>
      <x:c r="G2" s="38">
        <x:v>2000</x:v>
      </x:c>
      <x:c r="H2" s="3" t="s">
        <x:v>189</x:v>
      </x:c>
      <x:c r="I2" s="3" t="s">
        <x:v>190</x:v>
      </x:c>
      <x:c r="J2" s="3" t="s">
        <x:v>191</x:v>
      </x:c>
    </x:row>
    <x:row r="3" ht="34">
      <x:c r="A3" s="3" t="s">
        <x:v>192</x:v>
      </x:c>
      <x:c r="B3" s="3" t="s">
        <x:v>187</x:v>
      </x:c>
      <x:c r="C3" s="3" t="s">
        <x:v>193</x:v>
      </x:c>
      <x:c r="D3" s="38">
        <x:v>2600</x:v>
      </x:c>
      <x:c r="E3" s="38" t="n">
        <x:f>IF(ISBLANK(D3),"",ROUNDUP(D3*1.3,0))</x:f>
        <x:v>3380</x:v>
      </x:c>
      <x:c r="F3" s="38">
        <x:v>2600</x:v>
      </x:c>
      <x:c r="G3" s="38">
        <x:v>2800</x:v>
      </x:c>
      <x:c r="H3" s="3" t="s">
        <x:v>189</x:v>
      </x:c>
      <x:c r="I3" s="3" t="s">
        <x:v>190</x:v>
      </x:c>
      <x:c r="J3" s="3" t="s">
        <x:v>194</x:v>
      </x:c>
    </x:row>
    <x:row r="4" ht="34">
      <x:c r="A4" s="3" t="s">
        <x:v>195</x:v>
      </x:c>
      <x:c r="B4" s="3" t="s">
        <x:v>187</x:v>
      </x:c>
      <x:c r="C4" s="3" t="s">
        <x:v>196</x:v>
      </x:c>
      <x:c r="D4" s="38">
        <x:v>3600</x:v>
      </x:c>
      <x:c r="E4" s="38" t="n">
        <x:f>IF(ISBLANK(D4),"",ROUNDUP(D4*1.3,0))</x:f>
        <x:v>4680</x:v>
      </x:c>
      <x:c r="F4" s="38">
        <x:v>3600</x:v>
      </x:c>
      <x:c r="G4" s="38">
        <x:v>3800</x:v>
      </x:c>
      <x:c r="H4" s="3" t="s">
        <x:v>189</x:v>
      </x:c>
      <x:c r="I4" s="3" t="s">
        <x:v>190</x:v>
      </x:c>
      <x:c r="J4" s="3" t="s">
        <x:v>197</x:v>
      </x:c>
    </x:row>
    <x:row r="5" ht="17">
      <x:c r="A5" s="3" t="s">
        <x:v>198</x:v>
      </x:c>
      <x:c r="B5" s="3" t="s">
        <x:v>199</x:v>
      </x:c>
      <x:c r="C5" s="3" t="s">
        <x:v>200</x:v>
      </x:c>
      <x:c r="D5" s="38">
        <x:v>1100</x:v>
      </x:c>
      <x:c r="E5" s="38" t="n">
        <x:f>IF(ISBLANK(D5),"",ROUNDUP(D5*1.3,0))</x:f>
        <x:v>1430</x:v>
      </x:c>
      <x:c r="F5" s="38">
        <x:v>1100</x:v>
      </x:c>
      <x:c r="G5" s="38">
        <x:v>1100</x:v>
      </x:c>
      <x:c r="H5" s="3" t="s">
        <x:v>201</x:v>
      </x:c>
      <x:c r="I5" s="3" t="s">
        <x:v>202</x:v>
      </x:c>
      <x:c r="J5" s="3" t="s">
        <x:v>203</x:v>
      </x:c>
    </x:row>
    <x:row r="6" ht="17">
      <x:c r="A6" s="3" t="s">
        <x:v>204</x:v>
      </x:c>
      <x:c r="B6" s="3" t="s">
        <x:v>199</x:v>
      </x:c>
      <x:c r="C6" s="3" t="s">
        <x:v>205</x:v>
      </x:c>
      <x:c r="D6" s="38">
        <x:v>1300</x:v>
      </x:c>
      <x:c r="E6" s="38" t="n">
        <x:f>IF(ISBLANK(D6),"",ROUNDUP(D6*1.3,0))</x:f>
        <x:v>1690</x:v>
      </x:c>
      <x:c r="F6" s="38">
        <x:v>1300</x:v>
      </x:c>
      <x:c r="G6" s="38">
        <x:v>1300</x:v>
      </x:c>
      <x:c r="H6" s="3" t="s">
        <x:v>201</x:v>
      </x:c>
      <x:c r="I6" s="3" t="s">
        <x:v>202</x:v>
      </x:c>
      <x:c r="J6" s="3" t="s">
        <x:v>203</x:v>
      </x:c>
    </x:row>
    <x:row r="7" ht="17">
      <x:c r="A7" s="3" t="s">
        <x:v>206</x:v>
      </x:c>
      <x:c r="B7" s="3" t="s">
        <x:v>199</x:v>
      </x:c>
      <x:c r="C7" s="3" t="s">
        <x:v>207</x:v>
      </x:c>
      <x:c r="D7" s="38">
        <x:v>1700</x:v>
      </x:c>
      <x:c r="E7" s="38" t="n">
        <x:f>IF(ISBLANK(D7),"",ROUNDUP(D7*1.3,0))</x:f>
        <x:v>2210</x:v>
      </x:c>
      <x:c r="F7" s="38">
        <x:v>1700</x:v>
      </x:c>
      <x:c r="G7" s="38">
        <x:v>1700</x:v>
      </x:c>
      <x:c r="H7" s="3" t="s">
        <x:v>201</x:v>
      </x:c>
      <x:c r="I7" s="3" t="s">
        <x:v>202</x:v>
      </x:c>
      <x:c r="J7" s="3" t="s">
        <x:v>203</x:v>
      </x:c>
    </x:row>
    <x:row r="8" ht="17">
      <x:c r="A8" s="3" t="s">
        <x:v>208</x:v>
      </x:c>
      <x:c r="B8" s="3" t="s">
        <x:v>209</x:v>
      </x:c>
      <x:c r="C8" s="3" t="s">
        <x:v>210</x:v>
      </x:c>
      <x:c r="D8" s="38">
        <x:v>500</x:v>
      </x:c>
      <x:c r="E8" s="38" t="n">
        <x:f>IF(ISBLANK(D8),"",ROUNDUP(D8*1.3,0))</x:f>
        <x:v>650</x:v>
      </x:c>
      <x:c r="F8" s="38">
        <x:v>500</x:v>
      </x:c>
      <x:c r="G8" s="38">
        <x:v>800</x:v>
      </x:c>
      <x:c r="H8" s="3" t="s">
        <x:v>211</x:v>
      </x:c>
      <x:c r="I8" s="3" t="s">
        <x:v>212</x:v>
      </x:c>
      <x:c r="J8" s="3" t="s">
        <x:v>213</x:v>
      </x:c>
    </x:row>
    <x:row r="9" ht="17">
      <x:c r="A9" s="3" t="s">
        <x:v>214</x:v>
      </x:c>
      <x:c r="B9" s="3" t="s">
        <x:v>215</x:v>
      </x:c>
      <x:c r="C9" s="3" t="s">
        <x:v>216</x:v>
      </x:c>
      <x:c r="D9" s="38">
        <x:v>200</x:v>
      </x:c>
      <x:c r="E9" s="38" t="n">
        <x:f>IF(ISBLANK(D9),"",ROUNDUP(D9*1.3,0))</x:f>
        <x:v>260</x:v>
      </x:c>
      <x:c r="F9" s="38">
        <x:v>200</x:v>
      </x:c>
      <x:c r="G9" s="38">
        <x:v>300</x:v>
      </x:c>
      <x:c r="H9" s="3" t="s">
        <x:v>217</x:v>
      </x:c>
      <x:c r="I9" s="3" t="s">
        <x:v>212</x:v>
      </x:c>
      <x:c r="J9" s="3" t="s">
        <x:v>218</x:v>
      </x:c>
    </x:row>
    <x:row r="10" ht="34">
      <x:c r="A10" s="3" t="s">
        <x:v>219</x:v>
      </x:c>
      <x:c r="B10" s="3" t="s">
        <x:v>22</x:v>
      </x:c>
      <x:c r="C10" s="3" t="s">
        <x:v>220</x:v>
      </x:c>
      <x:c r="D10" s="38">
        <x:v>100</x:v>
      </x:c>
      <x:c r="E10" s="38" t="n">
        <x:f>IF(ISBLANK(D10),"",ROUNDUP(D10*1.3,0))</x:f>
        <x:v>130</x:v>
      </x:c>
      <x:c r="F10" s="38">
        <x:v>100</x:v>
      </x:c>
      <x:c r="G10" s="38">
        <x:v>100</x:v>
      </x:c>
      <x:c r="H10" s="3" t="s">
        <x:v>221</x:v>
      </x:c>
      <x:c r="I10" s="3" t="s">
        <x:v>222</x:v>
      </x:c>
      <x:c r="J10" s="3" t="s">
        <x:v>223</x:v>
      </x:c>
    </x:row>
  </x:sheetData>
  <x:pageMargins left="0.7" right="0.7" top="0.75" bottom="0.75" header="0.3" footer="0.3"/>
  <x:tableParts count="1">
    <x:tablePart xmlns:r="http://schemas.openxmlformats.org/officeDocument/2006/relationships" r:id="R11bbbec604134969"/>
  </x:tableParts>
</x:worksheet>
</file>

<file path=xl/worksheets/sheet6.xml><?xml version="1.0" encoding="utf-8"?>
<x:worksheet xmlns:x="http://schemas.openxmlformats.org/spreadsheetml/2006/main">
  <x:sheetFormatPr defaultColWidth="9" defaultRowHeight="16.799999237060547"/>
  <x:cols>
    <x:col min="1" max="1" width="15" hidden="0" customWidth="1"/>
    <x:col min="2" max="2" width="15" hidden="0" customWidth="1"/>
    <x:col min="3" max="3" width="28" hidden="0" customWidth="1"/>
    <x:col min="4" max="4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6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3.200000762939453">
      <x:c r="A1" s="43" t="s">
        <x:v>224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  <x:c r="AA1" s="42"/>
      <x:c r="AB1" s="42"/>
      <x:c r="AC1" s="42"/>
      <x:c r="AD1" s="42"/>
      <x:c r="AE1" s="42"/>
      <x:c r="AF1" s="42"/>
    </x:row>
    <x:row r="2" ht="152">
      <x:c r="A2" s="6" t="s">
        <x:v>225</x:v>
      </x:c>
      <x:c r="B2" s="6" t="s">
        <x:v>226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7" t="s">
        <x:v>227</x:v>
      </x:c>
      <x:c r="B4" s="7"/>
      <x:c r="C4" s="7"/>
      <x:c r="D4" s="7"/>
      <x:c r="E4" s="7"/>
      <x:c r="F4" s="7"/>
    </x:row>
    <x:row r="5" ht="17">
      <x:c r="A5" s="7" t="s">
        <x:v>228</x:v>
      </x:c>
      <x:c r="B5" s="7">
        <x:v>1</x:v>
      </x:c>
      <x:c r="C5" s="7" t="s">
        <x:v>229</x:v>
      </x:c>
      <x:c r="D5" s="7">
        <x:v>0</x:v>
      </x:c>
      <x:c r="E5" s="7" t="s">
        <x:v>230</x:v>
      </x:c>
      <x:c r="F5" s="7" t="s">
        <x:v>231</x:v>
      </x:c>
      <x:c r="H5" s="8" t="s">
        <x:v>232</x:v>
      </x:c>
      <x:c r="I5" s="8"/>
    </x:row>
    <x:row r="6" ht="17">
      <x:c r="A6"/>
      <x:c r="B6"/>
      <x:c r="C6"/>
      <x:c r="D6"/>
      <x:c r="E6"/>
      <x:c r="F6"/>
      <x:c r="H6" s="9" t="s">
        <x:v>233</x:v>
      </x:c>
      <x:c r="I6" s="10" t="n">
        <x:f>SUM(K9:K28)</x:f>
        <x:v>0</x:v>
      </x:c>
    </x:row>
    <x:row r="8">
      <x:c r="A8" s="55" t="s">
        <x:v>234</x:v>
      </x:c>
      <x:c r="B8" s="55" t="s">
        <x:v>235</x:v>
      </x:c>
      <x:c r="C8" s="55" t="s">
        <x:v>236</x:v>
      </x:c>
      <x:c r="D8" s="55" t="s">
        <x:v>237</x:v>
      </x:c>
      <x:c r="E8" s="55" t="s">
        <x:v>238</x:v>
      </x:c>
      <x:c r="F8" s="55" t="s">
        <x:v>30</x:v>
      </x:c>
      <x:c r="G8" s="55" t="s">
        <x:v>239</x:v>
      </x:c>
      <x:c r="H8" s="55" t="s">
        <x:v>240</x:v>
      </x:c>
      <x:c r="I8" s="55" t="s">
        <x:v>241</x:v>
      </x:c>
      <x:c r="J8" s="55" t="s">
        <x:v>9</x:v>
      </x:c>
      <x:c r="K8" s="55" t="s">
        <x:v>242</x:v>
      </x:c>
      <x:c r="L8" s="55" t="s">
        <x:v>243</x:v>
      </x:c>
    </x:row>
    <x:row r="9" ht="17">
      <x:c r="A9" s="3">
        <x:v>1</x:v>
      </x:c>
      <x:c r="B9" s="3"/>
      <x:c r="C9" s="3" t="str">
        <x:f>IFERROR(INDEX('POI数据库'!$E$2:$E$63,MATCH($B9,'POI数据库'!$A$2:$A$63,0)),"")</x:f>
      </x:c>
      <x:c r="D9" s="3" t="str">
        <x:f>IFERROR(INDEX('POI数据库'!$B$2:$B$63,MATCH($B9,'POI数据库'!$A$2:$A$63,0)),"")</x:f>
      </x:c>
      <x:c r="E9" s="3" t="str">
        <x:f>IFERROR(INDEX('POI数据库'!$C$2:$C$63,MATCH($B9,'POI数据库'!$A$2:$A$63,0)),"")</x:f>
      </x:c>
      <x:c r="F9" s="3" t="str">
        <x:f>IFERROR(INDEX('POI数据库'!$D$2:$D$63,MATCH($B9,'POI数据库'!$A$2:$A$63,0)),"")</x:f>
      </x:c>
      <x:c r="G9" s="3" t="str">
        <x:f>IFERROR(INDEX('POI数据库'!$K$2:$K$63,MATCH($B9,'POI数据库'!$A$2:$A$63,0)),"")</x:f>
      </x:c>
      <x:c r="H9" s="3" t="str">
        <x:f>IFERROR(INDEX('POI数据库'!$S$2:$S$63,MATCH($B9,'POI数据库'!$A$2:$A$63,0)),"")</x:f>
      </x:c>
      <x:c r="I9" s="38" t="n">
        <x:f>IF($F$5="成本",IFERROR(INDEX('POI数据库'!$T$2:$T$63,MATCH($B9,'POI数据库'!$A$2:$A$63,0)),0),IFERROR(INDEX('POI数据库'!$U$2:$U$63,MATCH($B9,'POI数据库'!$A$2:$A$63,0)),0))</x:f>
        <x:v>0</x:v>
      </x:c>
      <x:c r="J9" s="38">
        <x:v>1</x:v>
      </x:c>
      <x:c r="K9" s="38" t="n">
        <x:f t="shared" ref="K9:K28" si="0">I9*J9</x:f>
        <x:v>0</x:v>
      </x:c>
      <x:c r="L9" s="3" t="str">
        <x:f>IFERROR(INDEX('POI数据库'!$Y$2:$Y$63,MATCH($B9,'POI数据库'!$A$2:$A$63,0)),"")</x:f>
      </x:c>
    </x:row>
    <x:row r="10" ht="17">
      <x:c r="A10" s="3">
        <x:v>2</x:v>
      </x:c>
      <x:c r="B10" s="3"/>
      <x:c r="C10" s="3" t="str">
        <x:f>IFERROR(INDEX('POI数据库'!$E$2:$E$63,MATCH($B10,'POI数据库'!$A$2:$A$63,0)),"")</x:f>
      </x:c>
      <x:c r="D10" s="3" t="str">
        <x:f>IFERROR(INDEX('POI数据库'!$B$2:$B$63,MATCH($B10,'POI数据库'!$A$2:$A$63,0)),"")</x:f>
      </x:c>
      <x:c r="E10" s="3" t="str">
        <x:f>IFERROR(INDEX('POI数据库'!$C$2:$C$63,MATCH($B10,'POI数据库'!$A$2:$A$63,0)),"")</x:f>
      </x:c>
      <x:c r="F10" s="3" t="str">
        <x:f>IFERROR(INDEX('POI数据库'!$D$2:$D$63,MATCH($B10,'POI数据库'!$A$2:$A$63,0)),"")</x:f>
      </x:c>
      <x:c r="G10" s="3" t="str">
        <x:f>IFERROR(INDEX('POI数据库'!$K$2:$K$63,MATCH($B10,'POI数据库'!$A$2:$A$63,0)),"")</x:f>
      </x:c>
      <x:c r="H10" s="3" t="str">
        <x:f>IFERROR(INDEX('POI数据库'!$S$2:$S$63,MATCH($B10,'POI数据库'!$A$2:$A$63,0)),"")</x:f>
      </x:c>
      <x:c r="I10" s="38" t="n">
        <x:f>IF($F$5="成本",IFERROR(INDEX('POI数据库'!$T$2:$T$63,MATCH($B10,'POI数据库'!$A$2:$A$63,0)),0),IFERROR(INDEX('POI数据库'!$U$2:$U$63,MATCH($B10,'POI数据库'!$A$2:$A$63,0)),0))</x:f>
        <x:v>0</x:v>
      </x:c>
      <x:c r="J10" s="38">
        <x:v>1</x:v>
      </x:c>
      <x:c r="K10" s="38" t="n">
        <x:f t="shared" si="0">I10*J10</x:f>
        <x:v>0</x:v>
      </x:c>
      <x:c r="L10" s="3" t="str">
        <x:f>IFERROR(INDEX('POI数据库'!$Y$2:$Y$63,MATCH($B10,'POI数据库'!$A$2:$A$63,0)),"")</x:f>
      </x:c>
    </x:row>
    <x:row r="11" ht="17">
      <x:c r="A11" s="3">
        <x:v>3</x:v>
      </x:c>
      <x:c r="B11" s="3"/>
      <x:c r="C11" s="3" t="str">
        <x:f>IFERROR(INDEX('POI数据库'!$E$2:$E$63,MATCH($B11,'POI数据库'!$A$2:$A$63,0)),"")</x:f>
      </x:c>
      <x:c r="D11" s="3" t="str">
        <x:f>IFERROR(INDEX('POI数据库'!$B$2:$B$63,MATCH($B11,'POI数据库'!$A$2:$A$63,0)),"")</x:f>
      </x:c>
      <x:c r="E11" s="3" t="str">
        <x:f>IFERROR(INDEX('POI数据库'!$C$2:$C$63,MATCH($B11,'POI数据库'!$A$2:$A$63,0)),"")</x:f>
      </x:c>
      <x:c r="F11" s="3" t="str">
        <x:f>IFERROR(INDEX('POI数据库'!$D$2:$D$63,MATCH($B11,'POI数据库'!$A$2:$A$63,0)),"")</x:f>
      </x:c>
      <x:c r="G11" s="3" t="str">
        <x:f>IFERROR(INDEX('POI数据库'!$K$2:$K$63,MATCH($B11,'POI数据库'!$A$2:$A$63,0)),"")</x:f>
      </x:c>
      <x:c r="H11" s="3" t="str">
        <x:f>IFERROR(INDEX('POI数据库'!$S$2:$S$63,MATCH($B11,'POI数据库'!$A$2:$A$63,0)),"")</x:f>
      </x:c>
      <x:c r="I11" s="38" t="n">
        <x:f>IF($F$5="成本",IFERROR(INDEX('POI数据库'!$T$2:$T$63,MATCH($B11,'POI数据库'!$A$2:$A$63,0)),0),IFERROR(INDEX('POI数据库'!$U$2:$U$63,MATCH($B11,'POI数据库'!$A$2:$A$63,0)),0))</x:f>
        <x:v>0</x:v>
      </x:c>
      <x:c r="J11" s="38">
        <x:v>1</x:v>
      </x:c>
      <x:c r="K11" s="38" t="n">
        <x:f t="shared" si="0">I11*J11</x:f>
        <x:v>0</x:v>
      </x:c>
      <x:c r="L11" s="3" t="str">
        <x:f>IFERROR(INDEX('POI数据库'!$Y$2:$Y$63,MATCH($B11,'POI数据库'!$A$2:$A$63,0)),"")</x:f>
      </x:c>
    </x:row>
    <x:row r="12" ht="17">
      <x:c r="A12" s="3">
        <x:v>4</x:v>
      </x:c>
      <x:c r="B12" s="3"/>
      <x:c r="C12" s="3" t="str">
        <x:f>IFERROR(INDEX('POI数据库'!$E$2:$E$63,MATCH($B12,'POI数据库'!$A$2:$A$63,0)),"")</x:f>
      </x:c>
      <x:c r="D12" s="3" t="str">
        <x:f>IFERROR(INDEX('POI数据库'!$B$2:$B$63,MATCH($B12,'POI数据库'!$A$2:$A$63,0)),"")</x:f>
      </x:c>
      <x:c r="E12" s="3" t="str">
        <x:f>IFERROR(INDEX('POI数据库'!$C$2:$C$63,MATCH($B12,'POI数据库'!$A$2:$A$63,0)),"")</x:f>
      </x:c>
      <x:c r="F12" s="3" t="str">
        <x:f>IFERROR(INDEX('POI数据库'!$D$2:$D$63,MATCH($B12,'POI数据库'!$A$2:$A$63,0)),"")</x:f>
      </x:c>
      <x:c r="G12" s="3" t="str">
        <x:f>IFERROR(INDEX('POI数据库'!$K$2:$K$63,MATCH($B12,'POI数据库'!$A$2:$A$63,0)),"")</x:f>
      </x:c>
      <x:c r="H12" s="3" t="str">
        <x:f>IFERROR(INDEX('POI数据库'!$S$2:$S$63,MATCH($B12,'POI数据库'!$A$2:$A$63,0)),"")</x:f>
      </x:c>
      <x:c r="I12" s="38" t="n">
        <x:f>IF($F$5="成本",IFERROR(INDEX('POI数据库'!$T$2:$T$63,MATCH($B12,'POI数据库'!$A$2:$A$63,0)),0),IFERROR(INDEX('POI数据库'!$U$2:$U$63,MATCH($B12,'POI数据库'!$A$2:$A$63,0)),0))</x:f>
        <x:v>0</x:v>
      </x:c>
      <x:c r="J12" s="38">
        <x:v>1</x:v>
      </x:c>
      <x:c r="K12" s="38" t="n">
        <x:f t="shared" si="0">I12*J12</x:f>
        <x:v>0</x:v>
      </x:c>
      <x:c r="L12" s="3" t="str">
        <x:f>IFERROR(INDEX('POI数据库'!$Y$2:$Y$63,MATCH($B12,'POI数据库'!$A$2:$A$63,0)),"")</x:f>
      </x:c>
    </x:row>
    <x:row r="13" ht="17">
      <x:c r="A13" s="3">
        <x:v>5</x:v>
      </x:c>
      <x:c r="B13" s="3"/>
      <x:c r="C13" s="3" t="str">
        <x:f>IFERROR(INDEX('POI数据库'!$E$2:$E$63,MATCH($B13,'POI数据库'!$A$2:$A$63,0)),"")</x:f>
      </x:c>
      <x:c r="D13" s="3" t="str">
        <x:f>IFERROR(INDEX('POI数据库'!$B$2:$B$63,MATCH($B13,'POI数据库'!$A$2:$A$63,0)),"")</x:f>
      </x:c>
      <x:c r="E13" s="3" t="str">
        <x:f>IFERROR(INDEX('POI数据库'!$C$2:$C$63,MATCH($B13,'POI数据库'!$A$2:$A$63,0)),"")</x:f>
      </x:c>
      <x:c r="F13" s="3" t="str">
        <x:f>IFERROR(INDEX('POI数据库'!$D$2:$D$63,MATCH($B13,'POI数据库'!$A$2:$A$63,0)),"")</x:f>
      </x:c>
      <x:c r="G13" s="3" t="str">
        <x:f>IFERROR(INDEX('POI数据库'!$K$2:$K$63,MATCH($B13,'POI数据库'!$A$2:$A$63,0)),"")</x:f>
      </x:c>
      <x:c r="H13" s="3" t="str">
        <x:f>IFERROR(INDEX('POI数据库'!$S$2:$S$63,MATCH($B13,'POI数据库'!$A$2:$A$63,0)),"")</x:f>
      </x:c>
      <x:c r="I13" s="38" t="n">
        <x:f>IF($F$5="成本",IFERROR(INDEX('POI数据库'!$T$2:$T$63,MATCH($B13,'POI数据库'!$A$2:$A$63,0)),0),IFERROR(INDEX('POI数据库'!$U$2:$U$63,MATCH($B13,'POI数据库'!$A$2:$A$63,0)),0))</x:f>
        <x:v>0</x:v>
      </x:c>
      <x:c r="J13" s="38">
        <x:v>1</x:v>
      </x:c>
      <x:c r="K13" s="38" t="n">
        <x:f t="shared" si="0">I13*J13</x:f>
        <x:v>0</x:v>
      </x:c>
      <x:c r="L13" s="3" t="str">
        <x:f>IFERROR(INDEX('POI数据库'!$Y$2:$Y$63,MATCH($B13,'POI数据库'!$A$2:$A$63,0)),"")</x:f>
      </x:c>
    </x:row>
    <x:row r="14" ht="17">
      <x:c r="A14" s="3">
        <x:v>6</x:v>
      </x:c>
      <x:c r="B14" s="3"/>
      <x:c r="C14" s="3" t="str">
        <x:f>IFERROR(INDEX('POI数据库'!$E$2:$E$63,MATCH($B14,'POI数据库'!$A$2:$A$63,0)),"")</x:f>
      </x:c>
      <x:c r="D14" s="3" t="str">
        <x:f>IFERROR(INDEX('POI数据库'!$B$2:$B$63,MATCH($B14,'POI数据库'!$A$2:$A$63,0)),"")</x:f>
      </x:c>
      <x:c r="E14" s="3" t="str">
        <x:f>IFERROR(INDEX('POI数据库'!$C$2:$C$63,MATCH($B14,'POI数据库'!$A$2:$A$63,0)),"")</x:f>
      </x:c>
      <x:c r="F14" s="3" t="str">
        <x:f>IFERROR(INDEX('POI数据库'!$D$2:$D$63,MATCH($B14,'POI数据库'!$A$2:$A$63,0)),"")</x:f>
      </x:c>
      <x:c r="G14" s="3" t="str">
        <x:f>IFERROR(INDEX('POI数据库'!$K$2:$K$63,MATCH($B14,'POI数据库'!$A$2:$A$63,0)),"")</x:f>
      </x:c>
      <x:c r="H14" s="3" t="str">
        <x:f>IFERROR(INDEX('POI数据库'!$S$2:$S$63,MATCH($B14,'POI数据库'!$A$2:$A$63,0)),"")</x:f>
      </x:c>
      <x:c r="I14" s="38" t="n">
        <x:f>IF($F$5="成本",IFERROR(INDEX('POI数据库'!$T$2:$T$63,MATCH($B14,'POI数据库'!$A$2:$A$63,0)),0),IFERROR(INDEX('POI数据库'!$U$2:$U$63,MATCH($B14,'POI数据库'!$A$2:$A$63,0)),0))</x:f>
        <x:v>0</x:v>
      </x:c>
      <x:c r="J14" s="38">
        <x:v>1</x:v>
      </x:c>
      <x:c r="K14" s="38" t="n">
        <x:f t="shared" si="0">I14*J14</x:f>
        <x:v>0</x:v>
      </x:c>
      <x:c r="L14" s="3" t="str">
        <x:f>IFERROR(INDEX('POI数据库'!$Y$2:$Y$63,MATCH($B14,'POI数据库'!$A$2:$A$63,0)),"")</x:f>
      </x:c>
    </x:row>
    <x:row r="15" ht="17">
      <x:c r="A15" s="3">
        <x:v>7</x:v>
      </x:c>
      <x:c r="B15" s="3"/>
      <x:c r="C15" s="3" t="str">
        <x:f>IFERROR(INDEX('POI数据库'!$E$2:$E$63,MATCH($B15,'POI数据库'!$A$2:$A$63,0)),"")</x:f>
      </x:c>
      <x:c r="D15" s="3" t="str">
        <x:f>IFERROR(INDEX('POI数据库'!$B$2:$B$63,MATCH($B15,'POI数据库'!$A$2:$A$63,0)),"")</x:f>
      </x:c>
      <x:c r="E15" s="3" t="str">
        <x:f>IFERROR(INDEX('POI数据库'!$C$2:$C$63,MATCH($B15,'POI数据库'!$A$2:$A$63,0)),"")</x:f>
      </x:c>
      <x:c r="F15" s="3" t="str">
        <x:f>IFERROR(INDEX('POI数据库'!$D$2:$D$63,MATCH($B15,'POI数据库'!$A$2:$A$63,0)),"")</x:f>
      </x:c>
      <x:c r="G15" s="3" t="str">
        <x:f>IFERROR(INDEX('POI数据库'!$K$2:$K$63,MATCH($B15,'POI数据库'!$A$2:$A$63,0)),"")</x:f>
      </x:c>
      <x:c r="H15" s="3" t="str">
        <x:f>IFERROR(INDEX('POI数据库'!$S$2:$S$63,MATCH($B15,'POI数据库'!$A$2:$A$63,0)),"")</x:f>
      </x:c>
      <x:c r="I15" s="38" t="n">
        <x:f>IF($F$5="成本",IFERROR(INDEX('POI数据库'!$T$2:$T$63,MATCH($B15,'POI数据库'!$A$2:$A$63,0)),0),IFERROR(INDEX('POI数据库'!$U$2:$U$63,MATCH($B15,'POI数据库'!$A$2:$A$63,0)),0))</x:f>
        <x:v>0</x:v>
      </x:c>
      <x:c r="J15" s="38">
        <x:v>1</x:v>
      </x:c>
      <x:c r="K15" s="38" t="n">
        <x:f t="shared" si="0">I15*J15</x:f>
        <x:v>0</x:v>
      </x:c>
      <x:c r="L15" s="3" t="str">
        <x:f>IFERROR(INDEX('POI数据库'!$Y$2:$Y$63,MATCH($B15,'POI数据库'!$A$2:$A$63,0)),"")</x:f>
      </x:c>
    </x:row>
    <x:row r="16" ht="17">
      <x:c r="A16" s="3">
        <x:v>8</x:v>
      </x:c>
      <x:c r="B16" s="3"/>
      <x:c r="C16" s="3" t="str">
        <x:f>IFERROR(INDEX('POI数据库'!$E$2:$E$63,MATCH($B16,'POI数据库'!$A$2:$A$63,0)),"")</x:f>
      </x:c>
      <x:c r="D16" s="3" t="str">
        <x:f>IFERROR(INDEX('POI数据库'!$B$2:$B$63,MATCH($B16,'POI数据库'!$A$2:$A$63,0)),"")</x:f>
      </x:c>
      <x:c r="E16" s="3" t="str">
        <x:f>IFERROR(INDEX('POI数据库'!$C$2:$C$63,MATCH($B16,'POI数据库'!$A$2:$A$63,0)),"")</x:f>
      </x:c>
      <x:c r="F16" s="3" t="str">
        <x:f>IFERROR(INDEX('POI数据库'!$D$2:$D$63,MATCH($B16,'POI数据库'!$A$2:$A$63,0)),"")</x:f>
      </x:c>
      <x:c r="G16" s="3" t="str">
        <x:f>IFERROR(INDEX('POI数据库'!$K$2:$K$63,MATCH($B16,'POI数据库'!$A$2:$A$63,0)),"")</x:f>
      </x:c>
      <x:c r="H16" s="3" t="str">
        <x:f>IFERROR(INDEX('POI数据库'!$S$2:$S$63,MATCH($B16,'POI数据库'!$A$2:$A$63,0)),"")</x:f>
      </x:c>
      <x:c r="I16" s="38" t="n">
        <x:f>IF($F$5="成本",IFERROR(INDEX('POI数据库'!$T$2:$T$63,MATCH($B16,'POI数据库'!$A$2:$A$63,0)),0),IFERROR(INDEX('POI数据库'!$U$2:$U$63,MATCH($B16,'POI数据库'!$A$2:$A$63,0)),0))</x:f>
        <x:v>0</x:v>
      </x:c>
      <x:c r="J16" s="38">
        <x:v>1</x:v>
      </x:c>
      <x:c r="K16" s="38" t="n">
        <x:f t="shared" si="0">I16*J16</x:f>
        <x:v>0</x:v>
      </x:c>
      <x:c r="L16" s="3" t="str">
        <x:f>IFERROR(INDEX('POI数据库'!$Y$2:$Y$63,MATCH($B16,'POI数据库'!$A$2:$A$63,0)),"")</x:f>
      </x:c>
    </x:row>
    <x:row r="17" ht="17">
      <x:c r="A17" s="3">
        <x:v>9</x:v>
      </x:c>
      <x:c r="B17" s="3"/>
      <x:c r="C17" s="3" t="str">
        <x:f>IFERROR(INDEX('POI数据库'!$E$2:$E$63,MATCH($B17,'POI数据库'!$A$2:$A$63,0)),"")</x:f>
      </x:c>
      <x:c r="D17" s="3" t="str">
        <x:f>IFERROR(INDEX('POI数据库'!$B$2:$B$63,MATCH($B17,'POI数据库'!$A$2:$A$63,0)),"")</x:f>
      </x:c>
      <x:c r="E17" s="3" t="str">
        <x:f>IFERROR(INDEX('POI数据库'!$C$2:$C$63,MATCH($B17,'POI数据库'!$A$2:$A$63,0)),"")</x:f>
      </x:c>
      <x:c r="F17" s="3" t="str">
        <x:f>IFERROR(INDEX('POI数据库'!$D$2:$D$63,MATCH($B17,'POI数据库'!$A$2:$A$63,0)),"")</x:f>
      </x:c>
      <x:c r="G17" s="3" t="str">
        <x:f>IFERROR(INDEX('POI数据库'!$K$2:$K$63,MATCH($B17,'POI数据库'!$A$2:$A$63,0)),"")</x:f>
      </x:c>
      <x:c r="H17" s="3" t="str">
        <x:f>IFERROR(INDEX('POI数据库'!$S$2:$S$63,MATCH($B17,'POI数据库'!$A$2:$A$63,0)),"")</x:f>
      </x:c>
      <x:c r="I17" s="38" t="n">
        <x:f>IF($F$5="成本",IFERROR(INDEX('POI数据库'!$T$2:$T$63,MATCH($B17,'POI数据库'!$A$2:$A$63,0)),0),IFERROR(INDEX('POI数据库'!$U$2:$U$63,MATCH($B17,'POI数据库'!$A$2:$A$63,0)),0))</x:f>
        <x:v>0</x:v>
      </x:c>
      <x:c r="J17" s="38">
        <x:v>1</x:v>
      </x:c>
      <x:c r="K17" s="38" t="n">
        <x:f t="shared" si="0">I17*J17</x:f>
        <x:v>0</x:v>
      </x:c>
      <x:c r="L17" s="3" t="str">
        <x:f>IFERROR(INDEX('POI数据库'!$Y$2:$Y$63,MATCH($B17,'POI数据库'!$A$2:$A$63,0)),"")</x:f>
      </x:c>
    </x:row>
    <x:row r="18" ht="17">
      <x:c r="A18" s="3">
        <x:v>10</x:v>
      </x:c>
      <x:c r="B18" s="3"/>
      <x:c r="C18" s="3" t="str">
        <x:f>IFERROR(INDEX('POI数据库'!$E$2:$E$63,MATCH($B18,'POI数据库'!$A$2:$A$63,0)),"")</x:f>
      </x:c>
      <x:c r="D18" s="3" t="str">
        <x:f>IFERROR(INDEX('POI数据库'!$B$2:$B$63,MATCH($B18,'POI数据库'!$A$2:$A$63,0)),"")</x:f>
      </x:c>
      <x:c r="E18" s="3" t="str">
        <x:f>IFERROR(INDEX('POI数据库'!$C$2:$C$63,MATCH($B18,'POI数据库'!$A$2:$A$63,0)),"")</x:f>
      </x:c>
      <x:c r="F18" s="3" t="str">
        <x:f>IFERROR(INDEX('POI数据库'!$D$2:$D$63,MATCH($B18,'POI数据库'!$A$2:$A$63,0)),"")</x:f>
      </x:c>
      <x:c r="G18" s="3" t="str">
        <x:f>IFERROR(INDEX('POI数据库'!$K$2:$K$63,MATCH($B18,'POI数据库'!$A$2:$A$63,0)),"")</x:f>
      </x:c>
      <x:c r="H18" s="3" t="str">
        <x:f>IFERROR(INDEX('POI数据库'!$S$2:$S$63,MATCH($B18,'POI数据库'!$A$2:$A$63,0)),"")</x:f>
      </x:c>
      <x:c r="I18" s="38" t="n">
        <x:f>IF($F$5="成本",IFERROR(INDEX('POI数据库'!$T$2:$T$63,MATCH($B18,'POI数据库'!$A$2:$A$63,0)),0),IFERROR(INDEX('POI数据库'!$U$2:$U$63,MATCH($B18,'POI数据库'!$A$2:$A$63,0)),0))</x:f>
        <x:v>0</x:v>
      </x:c>
      <x:c r="J18" s="38">
        <x:v>1</x:v>
      </x:c>
      <x:c r="K18" s="38" t="n">
        <x:f t="shared" si="0">I18*J18</x:f>
        <x:v>0</x:v>
      </x:c>
      <x:c r="L18" s="3" t="str">
        <x:f>IFERROR(INDEX('POI数据库'!$Y$2:$Y$63,MATCH($B18,'POI数据库'!$A$2:$A$63,0)),"")</x:f>
      </x:c>
    </x:row>
    <x:row r="19" ht="17">
      <x:c r="A19" s="3">
        <x:v>11</x:v>
      </x:c>
      <x:c r="B19" s="3"/>
      <x:c r="C19" s="3" t="str">
        <x:f>IFERROR(INDEX('POI数据库'!$E$2:$E$63,MATCH($B19,'POI数据库'!$A$2:$A$63,0)),"")</x:f>
      </x:c>
      <x:c r="D19" s="3" t="str">
        <x:f>IFERROR(INDEX('POI数据库'!$B$2:$B$63,MATCH($B19,'POI数据库'!$A$2:$A$63,0)),"")</x:f>
      </x:c>
      <x:c r="E19" s="3" t="str">
        <x:f>IFERROR(INDEX('POI数据库'!$C$2:$C$63,MATCH($B19,'POI数据库'!$A$2:$A$63,0)),"")</x:f>
      </x:c>
      <x:c r="F19" s="3" t="str">
        <x:f>IFERROR(INDEX('POI数据库'!$D$2:$D$63,MATCH($B19,'POI数据库'!$A$2:$A$63,0)),"")</x:f>
      </x:c>
      <x:c r="G19" s="3" t="str">
        <x:f>IFERROR(INDEX('POI数据库'!$K$2:$K$63,MATCH($B19,'POI数据库'!$A$2:$A$63,0)),"")</x:f>
      </x:c>
      <x:c r="H19" s="3" t="str">
        <x:f>IFERROR(INDEX('POI数据库'!$S$2:$S$63,MATCH($B19,'POI数据库'!$A$2:$A$63,0)),"")</x:f>
      </x:c>
      <x:c r="I19" s="38" t="n">
        <x:f>IF($F$5="成本",IFERROR(INDEX('POI数据库'!$T$2:$T$63,MATCH($B19,'POI数据库'!$A$2:$A$63,0)),0),IFERROR(INDEX('POI数据库'!$U$2:$U$63,MATCH($B19,'POI数据库'!$A$2:$A$63,0)),0))</x:f>
        <x:v>0</x:v>
      </x:c>
      <x:c r="J19" s="38">
        <x:v>1</x:v>
      </x:c>
      <x:c r="K19" s="38" t="n">
        <x:f t="shared" si="0">I19*J19</x:f>
        <x:v>0</x:v>
      </x:c>
      <x:c r="L19" s="3" t="str">
        <x:f>IFERROR(INDEX('POI数据库'!$Y$2:$Y$63,MATCH($B19,'POI数据库'!$A$2:$A$63,0)),"")</x:f>
      </x:c>
    </x:row>
    <x:row r="20" ht="17">
      <x:c r="A20" s="3">
        <x:v>12</x:v>
      </x:c>
      <x:c r="B20" s="3"/>
      <x:c r="C20" s="3" t="str">
        <x:f>IFERROR(INDEX('POI数据库'!$E$2:$E$63,MATCH($B20,'POI数据库'!$A$2:$A$63,0)),"")</x:f>
      </x:c>
      <x:c r="D20" s="3" t="str">
        <x:f>IFERROR(INDEX('POI数据库'!$B$2:$B$63,MATCH($B20,'POI数据库'!$A$2:$A$63,0)),"")</x:f>
      </x:c>
      <x:c r="E20" s="3" t="str">
        <x:f>IFERROR(INDEX('POI数据库'!$C$2:$C$63,MATCH($B20,'POI数据库'!$A$2:$A$63,0)),"")</x:f>
      </x:c>
      <x:c r="F20" s="3" t="str">
        <x:f>IFERROR(INDEX('POI数据库'!$D$2:$D$63,MATCH($B20,'POI数据库'!$A$2:$A$63,0)),"")</x:f>
      </x:c>
      <x:c r="G20" s="3" t="str">
        <x:f>IFERROR(INDEX('POI数据库'!$K$2:$K$63,MATCH($B20,'POI数据库'!$A$2:$A$63,0)),"")</x:f>
      </x:c>
      <x:c r="H20" s="3" t="str">
        <x:f>IFERROR(INDEX('POI数据库'!$S$2:$S$63,MATCH($B20,'POI数据库'!$A$2:$A$63,0)),"")</x:f>
      </x:c>
      <x:c r="I20" s="38" t="n">
        <x:f>IF($F$5="成本",IFERROR(INDEX('POI数据库'!$T$2:$T$63,MATCH($B20,'POI数据库'!$A$2:$A$63,0)),0),IFERROR(INDEX('POI数据库'!$U$2:$U$63,MATCH($B20,'POI数据库'!$A$2:$A$63,0)),0))</x:f>
        <x:v>0</x:v>
      </x:c>
      <x:c r="J20" s="38">
        <x:v>1</x:v>
      </x:c>
      <x:c r="K20" s="38" t="n">
        <x:f t="shared" si="0">I20*J20</x:f>
        <x:v>0</x:v>
      </x:c>
      <x:c r="L20" s="3" t="str">
        <x:f>IFERROR(INDEX('POI数据库'!$Y$2:$Y$63,MATCH($B20,'POI数据库'!$A$2:$A$63,0)),"")</x:f>
      </x:c>
    </x:row>
    <x:row r="21" ht="17">
      <x:c r="A21" s="3">
        <x:v>13</x:v>
      </x:c>
      <x:c r="B21" s="3"/>
      <x:c r="C21" s="3" t="str">
        <x:f>IFERROR(INDEX('POI数据库'!$E$2:$E$63,MATCH($B21,'POI数据库'!$A$2:$A$63,0)),"")</x:f>
      </x:c>
      <x:c r="D21" s="3" t="str">
        <x:f>IFERROR(INDEX('POI数据库'!$B$2:$B$63,MATCH($B21,'POI数据库'!$A$2:$A$63,0)),"")</x:f>
      </x:c>
      <x:c r="E21" s="3" t="str">
        <x:f>IFERROR(INDEX('POI数据库'!$C$2:$C$63,MATCH($B21,'POI数据库'!$A$2:$A$63,0)),"")</x:f>
      </x:c>
      <x:c r="F21" s="3" t="str">
        <x:f>IFERROR(INDEX('POI数据库'!$D$2:$D$63,MATCH($B21,'POI数据库'!$A$2:$A$63,0)),"")</x:f>
      </x:c>
      <x:c r="G21" s="3" t="str">
        <x:f>IFERROR(INDEX('POI数据库'!$K$2:$K$63,MATCH($B21,'POI数据库'!$A$2:$A$63,0)),"")</x:f>
      </x:c>
      <x:c r="H21" s="3" t="str">
        <x:f>IFERROR(INDEX('POI数据库'!$S$2:$S$63,MATCH($B21,'POI数据库'!$A$2:$A$63,0)),"")</x:f>
      </x:c>
      <x:c r="I21" s="38" t="n">
        <x:f>IF($F$5="成本",IFERROR(INDEX('POI数据库'!$T$2:$T$63,MATCH($B21,'POI数据库'!$A$2:$A$63,0)),0),IFERROR(INDEX('POI数据库'!$U$2:$U$63,MATCH($B21,'POI数据库'!$A$2:$A$63,0)),0))</x:f>
        <x:v>0</x:v>
      </x:c>
      <x:c r="J21" s="38">
        <x:v>1</x:v>
      </x:c>
      <x:c r="K21" s="38" t="n">
        <x:f t="shared" si="0">I21*J21</x:f>
        <x:v>0</x:v>
      </x:c>
      <x:c r="L21" s="3" t="str">
        <x:f>IFERROR(INDEX('POI数据库'!$Y$2:$Y$63,MATCH($B21,'POI数据库'!$A$2:$A$63,0)),"")</x:f>
      </x:c>
    </x:row>
    <x:row r="22" ht="17">
      <x:c r="A22" s="3">
        <x:v>14</x:v>
      </x:c>
      <x:c r="B22" s="3"/>
      <x:c r="C22" s="3" t="str">
        <x:f>IFERROR(INDEX('POI数据库'!$E$2:$E$63,MATCH($B22,'POI数据库'!$A$2:$A$63,0)),"")</x:f>
      </x:c>
      <x:c r="D22" s="3" t="str">
        <x:f>IFERROR(INDEX('POI数据库'!$B$2:$B$63,MATCH($B22,'POI数据库'!$A$2:$A$63,0)),"")</x:f>
      </x:c>
      <x:c r="E22" s="3" t="str">
        <x:f>IFERROR(INDEX('POI数据库'!$C$2:$C$63,MATCH($B22,'POI数据库'!$A$2:$A$63,0)),"")</x:f>
      </x:c>
      <x:c r="F22" s="3" t="str">
        <x:f>IFERROR(INDEX('POI数据库'!$D$2:$D$63,MATCH($B22,'POI数据库'!$A$2:$A$63,0)),"")</x:f>
      </x:c>
      <x:c r="G22" s="3" t="str">
        <x:f>IFERROR(INDEX('POI数据库'!$K$2:$K$63,MATCH($B22,'POI数据库'!$A$2:$A$63,0)),"")</x:f>
      </x:c>
      <x:c r="H22" s="3" t="str">
        <x:f>IFERROR(INDEX('POI数据库'!$S$2:$S$63,MATCH($B22,'POI数据库'!$A$2:$A$63,0)),"")</x:f>
      </x:c>
      <x:c r="I22" s="38" t="n">
        <x:f>IF($F$5="成本",IFERROR(INDEX('POI数据库'!$T$2:$T$63,MATCH($B22,'POI数据库'!$A$2:$A$63,0)),0),IFERROR(INDEX('POI数据库'!$U$2:$U$63,MATCH($B22,'POI数据库'!$A$2:$A$63,0)),0))</x:f>
        <x:v>0</x:v>
      </x:c>
      <x:c r="J22" s="38">
        <x:v>1</x:v>
      </x:c>
      <x:c r="K22" s="38" t="n">
        <x:f t="shared" si="0">I22*J22</x:f>
        <x:v>0</x:v>
      </x:c>
      <x:c r="L22" s="3" t="str">
        <x:f>IFERROR(INDEX('POI数据库'!$Y$2:$Y$63,MATCH($B22,'POI数据库'!$A$2:$A$63,0)),"")</x:f>
      </x:c>
    </x:row>
    <x:row r="23" ht="17">
      <x:c r="A23" s="3">
        <x:v>15</x:v>
      </x:c>
      <x:c r="B23" s="3"/>
      <x:c r="C23" s="3" t="str">
        <x:f>IFERROR(INDEX('POI数据库'!$E$2:$E$63,MATCH($B23,'POI数据库'!$A$2:$A$63,0)),"")</x:f>
      </x:c>
      <x:c r="D23" s="3" t="str">
        <x:f>IFERROR(INDEX('POI数据库'!$B$2:$B$63,MATCH($B23,'POI数据库'!$A$2:$A$63,0)),"")</x:f>
      </x:c>
      <x:c r="E23" s="3" t="str">
        <x:f>IFERROR(INDEX('POI数据库'!$C$2:$C$63,MATCH($B23,'POI数据库'!$A$2:$A$63,0)),"")</x:f>
      </x:c>
      <x:c r="F23" s="3" t="str">
        <x:f>IFERROR(INDEX('POI数据库'!$D$2:$D$63,MATCH($B23,'POI数据库'!$A$2:$A$63,0)),"")</x:f>
      </x:c>
      <x:c r="G23" s="3" t="str">
        <x:f>IFERROR(INDEX('POI数据库'!$K$2:$K$63,MATCH($B23,'POI数据库'!$A$2:$A$63,0)),"")</x:f>
      </x:c>
      <x:c r="H23" s="3" t="str">
        <x:f>IFERROR(INDEX('POI数据库'!$S$2:$S$63,MATCH($B23,'POI数据库'!$A$2:$A$63,0)),"")</x:f>
      </x:c>
      <x:c r="I23" s="38" t="n">
        <x:f>IF($F$5="成本",IFERROR(INDEX('POI数据库'!$T$2:$T$63,MATCH($B23,'POI数据库'!$A$2:$A$63,0)),0),IFERROR(INDEX('POI数据库'!$U$2:$U$63,MATCH($B23,'POI数据库'!$A$2:$A$63,0)),0))</x:f>
        <x:v>0</x:v>
      </x:c>
      <x:c r="J23" s="38">
        <x:v>1</x:v>
      </x:c>
      <x:c r="K23" s="38" t="n">
        <x:f t="shared" si="0">I23*J23</x:f>
        <x:v>0</x:v>
      </x:c>
      <x:c r="L23" s="3" t="str">
        <x:f>IFERROR(INDEX('POI数据库'!$Y$2:$Y$63,MATCH($B23,'POI数据库'!$A$2:$A$63,0)),"")</x:f>
      </x:c>
    </x:row>
    <x:row r="24" ht="17">
      <x:c r="A24" s="3">
        <x:v>16</x:v>
      </x:c>
      <x:c r="B24" s="3"/>
      <x:c r="C24" s="3" t="str">
        <x:f>IFERROR(INDEX('POI数据库'!$E$2:$E$63,MATCH($B24,'POI数据库'!$A$2:$A$63,0)),"")</x:f>
      </x:c>
      <x:c r="D24" s="3" t="str">
        <x:f>IFERROR(INDEX('POI数据库'!$B$2:$B$63,MATCH($B24,'POI数据库'!$A$2:$A$63,0)),"")</x:f>
      </x:c>
      <x:c r="E24" s="3" t="str">
        <x:f>IFERROR(INDEX('POI数据库'!$C$2:$C$63,MATCH($B24,'POI数据库'!$A$2:$A$63,0)),"")</x:f>
      </x:c>
      <x:c r="F24" s="3" t="str">
        <x:f>IFERROR(INDEX('POI数据库'!$D$2:$D$63,MATCH($B24,'POI数据库'!$A$2:$A$63,0)),"")</x:f>
      </x:c>
      <x:c r="G24" s="3" t="str">
        <x:f>IFERROR(INDEX('POI数据库'!$K$2:$K$63,MATCH($B24,'POI数据库'!$A$2:$A$63,0)),"")</x:f>
      </x:c>
      <x:c r="H24" s="3" t="str">
        <x:f>IFERROR(INDEX('POI数据库'!$S$2:$S$63,MATCH($B24,'POI数据库'!$A$2:$A$63,0)),"")</x:f>
      </x:c>
      <x:c r="I24" s="38" t="n">
        <x:f>IF($F$5="成本",IFERROR(INDEX('POI数据库'!$T$2:$T$63,MATCH($B24,'POI数据库'!$A$2:$A$63,0)),0),IFERROR(INDEX('POI数据库'!$U$2:$U$63,MATCH($B24,'POI数据库'!$A$2:$A$63,0)),0))</x:f>
        <x:v>0</x:v>
      </x:c>
      <x:c r="J24" s="38">
        <x:v>1</x:v>
      </x:c>
      <x:c r="K24" s="38" t="n">
        <x:f t="shared" si="0">I24*J24</x:f>
        <x:v>0</x:v>
      </x:c>
      <x:c r="L24" s="3" t="str">
        <x:f>IFERROR(INDEX('POI数据库'!$Y$2:$Y$63,MATCH($B24,'POI数据库'!$A$2:$A$63,0)),"")</x:f>
      </x:c>
    </x:row>
    <x:row r="25" ht="17">
      <x:c r="A25" s="3">
        <x:v>17</x:v>
      </x:c>
      <x:c r="B25" s="3"/>
      <x:c r="C25" s="3" t="str">
        <x:f>IFERROR(INDEX('POI数据库'!$E$2:$E$63,MATCH($B25,'POI数据库'!$A$2:$A$63,0)),"")</x:f>
      </x:c>
      <x:c r="D25" s="3" t="str">
        <x:f>IFERROR(INDEX('POI数据库'!$B$2:$B$63,MATCH($B25,'POI数据库'!$A$2:$A$63,0)),"")</x:f>
      </x:c>
      <x:c r="E25" s="3" t="str">
        <x:f>IFERROR(INDEX('POI数据库'!$C$2:$C$63,MATCH($B25,'POI数据库'!$A$2:$A$63,0)),"")</x:f>
      </x:c>
      <x:c r="F25" s="3" t="str">
        <x:f>IFERROR(INDEX('POI数据库'!$D$2:$D$63,MATCH($B25,'POI数据库'!$A$2:$A$63,0)),"")</x:f>
      </x:c>
      <x:c r="G25" s="3" t="str">
        <x:f>IFERROR(INDEX('POI数据库'!$K$2:$K$63,MATCH($B25,'POI数据库'!$A$2:$A$63,0)),"")</x:f>
      </x:c>
      <x:c r="H25" s="3" t="str">
        <x:f>IFERROR(INDEX('POI数据库'!$S$2:$S$63,MATCH($B25,'POI数据库'!$A$2:$A$63,0)),"")</x:f>
      </x:c>
      <x:c r="I25" s="38" t="n">
        <x:f>IF($F$5="成本",IFERROR(INDEX('POI数据库'!$T$2:$T$63,MATCH($B25,'POI数据库'!$A$2:$A$63,0)),0),IFERROR(INDEX('POI数据库'!$U$2:$U$63,MATCH($B25,'POI数据库'!$A$2:$A$63,0)),0))</x:f>
        <x:v>0</x:v>
      </x:c>
      <x:c r="J25" s="38">
        <x:v>1</x:v>
      </x:c>
      <x:c r="K25" s="38" t="n">
        <x:f t="shared" si="0">I25*J25</x:f>
        <x:v>0</x:v>
      </x:c>
      <x:c r="L25" s="3" t="str">
        <x:f>IFERROR(INDEX('POI数据库'!$Y$2:$Y$63,MATCH($B25,'POI数据库'!$A$2:$A$63,0)),"")</x:f>
      </x:c>
    </x:row>
    <x:row r="26" ht="17">
      <x:c r="A26" s="3">
        <x:v>18</x:v>
      </x:c>
      <x:c r="B26" s="3"/>
      <x:c r="C26" s="3" t="str">
        <x:f>IFERROR(INDEX('POI数据库'!$E$2:$E$63,MATCH($B26,'POI数据库'!$A$2:$A$63,0)),"")</x:f>
      </x:c>
      <x:c r="D26" s="3" t="str">
        <x:f>IFERROR(INDEX('POI数据库'!$B$2:$B$63,MATCH($B26,'POI数据库'!$A$2:$A$63,0)),"")</x:f>
      </x:c>
      <x:c r="E26" s="3" t="str">
        <x:f>IFERROR(INDEX('POI数据库'!$C$2:$C$63,MATCH($B26,'POI数据库'!$A$2:$A$63,0)),"")</x:f>
      </x:c>
      <x:c r="F26" s="3" t="str">
        <x:f>IFERROR(INDEX('POI数据库'!$D$2:$D$63,MATCH($B26,'POI数据库'!$A$2:$A$63,0)),"")</x:f>
      </x:c>
      <x:c r="G26" s="3" t="str">
        <x:f>IFERROR(INDEX('POI数据库'!$K$2:$K$63,MATCH($B26,'POI数据库'!$A$2:$A$63,0)),"")</x:f>
      </x:c>
      <x:c r="H26" s="3" t="str">
        <x:f>IFERROR(INDEX('POI数据库'!$S$2:$S$63,MATCH($B26,'POI数据库'!$A$2:$A$63,0)),"")</x:f>
      </x:c>
      <x:c r="I26" s="38" t="n">
        <x:f>IF($F$5="成本",IFERROR(INDEX('POI数据库'!$T$2:$T$63,MATCH($B26,'POI数据库'!$A$2:$A$63,0)),0),IFERROR(INDEX('POI数据库'!$U$2:$U$63,MATCH($B26,'POI数据库'!$A$2:$A$63,0)),0))</x:f>
        <x:v>0</x:v>
      </x:c>
      <x:c r="J26" s="38">
        <x:v>1</x:v>
      </x:c>
      <x:c r="K26" s="38" t="n">
        <x:f t="shared" si="0">I26*J26</x:f>
        <x:v>0</x:v>
      </x:c>
      <x:c r="L26" s="3" t="str">
        <x:f>IFERROR(INDEX('POI数据库'!$Y$2:$Y$63,MATCH($B26,'POI数据库'!$A$2:$A$63,0)),"")</x:f>
      </x:c>
    </x:row>
    <x:row r="27" ht="17">
      <x:c r="A27" s="3">
        <x:v>19</x:v>
      </x:c>
      <x:c r="B27" s="3"/>
      <x:c r="C27" s="3" t="str">
        <x:f>IFERROR(INDEX('POI数据库'!$E$2:$E$63,MATCH($B27,'POI数据库'!$A$2:$A$63,0)),"")</x:f>
      </x:c>
      <x:c r="D27" s="3" t="str">
        <x:f>IFERROR(INDEX('POI数据库'!$B$2:$B$63,MATCH($B27,'POI数据库'!$A$2:$A$63,0)),"")</x:f>
      </x:c>
      <x:c r="E27" s="3" t="str">
        <x:f>IFERROR(INDEX('POI数据库'!$C$2:$C$63,MATCH($B27,'POI数据库'!$A$2:$A$63,0)),"")</x:f>
      </x:c>
      <x:c r="F27" s="3" t="str">
        <x:f>IFERROR(INDEX('POI数据库'!$D$2:$D$63,MATCH($B27,'POI数据库'!$A$2:$A$63,0)),"")</x:f>
      </x:c>
      <x:c r="G27" s="3" t="str">
        <x:f>IFERROR(INDEX('POI数据库'!$K$2:$K$63,MATCH($B27,'POI数据库'!$A$2:$A$63,0)),"")</x:f>
      </x:c>
      <x:c r="H27" s="3" t="str">
        <x:f>IFERROR(INDEX('POI数据库'!$S$2:$S$63,MATCH($B27,'POI数据库'!$A$2:$A$63,0)),"")</x:f>
      </x:c>
      <x:c r="I27" s="38" t="n">
        <x:f>IF($F$5="成本",IFERROR(INDEX('POI数据库'!$T$2:$T$63,MATCH($B27,'POI数据库'!$A$2:$A$63,0)),0),IFERROR(INDEX('POI数据库'!$U$2:$U$63,MATCH($B27,'POI数据库'!$A$2:$A$63,0)),0))</x:f>
        <x:v>0</x:v>
      </x:c>
      <x:c r="J27" s="38">
        <x:v>1</x:v>
      </x:c>
      <x:c r="K27" s="38" t="n">
        <x:f t="shared" si="0">I27*J27</x:f>
        <x:v>0</x:v>
      </x:c>
      <x:c r="L27" s="3" t="str">
        <x:f>IFERROR(INDEX('POI数据库'!$Y$2:$Y$63,MATCH($B27,'POI数据库'!$A$2:$A$63,0)),"")</x:f>
      </x:c>
    </x:row>
    <x:row r="28" ht="17">
      <x:c r="A28" s="3">
        <x:v>20</x:v>
      </x:c>
      <x:c r="B28" s="3"/>
      <x:c r="C28" s="3" t="str">
        <x:f>IFERROR(INDEX('POI数据库'!$E$2:$E$63,MATCH($B28,'POI数据库'!$A$2:$A$63,0)),"")</x:f>
      </x:c>
      <x:c r="D28" s="3" t="str">
        <x:f>IFERROR(INDEX('POI数据库'!$B$2:$B$63,MATCH($B28,'POI数据库'!$A$2:$A$63,0)),"")</x:f>
      </x:c>
      <x:c r="E28" s="3" t="str">
        <x:f>IFERROR(INDEX('POI数据库'!$C$2:$C$63,MATCH($B28,'POI数据库'!$A$2:$A$63,0)),"")</x:f>
      </x:c>
      <x:c r="F28" s="3" t="str">
        <x:f>IFERROR(INDEX('POI数据库'!$D$2:$D$63,MATCH($B28,'POI数据库'!$A$2:$A$63,0)),"")</x:f>
      </x:c>
      <x:c r="G28" s="3" t="str">
        <x:f>IFERROR(INDEX('POI数据库'!$K$2:$K$63,MATCH($B28,'POI数据库'!$A$2:$A$63,0)),"")</x:f>
      </x:c>
      <x:c r="H28" s="3" t="str">
        <x:f>IFERROR(INDEX('POI数据库'!$S$2:$S$63,MATCH($B28,'POI数据库'!$A$2:$A$63,0)),"")</x:f>
      </x:c>
      <x:c r="I28" s="38" t="n">
        <x:f>IF($F$5="成本",IFERROR(INDEX('POI数据库'!$T$2:$T$63,MATCH($B28,'POI数据库'!$A$2:$A$63,0)),0),IFERROR(INDEX('POI数据库'!$U$2:$U$63,MATCH($B28,'POI数据库'!$A$2:$A$63,0)),0))</x:f>
        <x:v>0</x:v>
      </x:c>
      <x:c r="J28" s="38">
        <x:v>1</x:v>
      </x:c>
      <x:c r="K28" s="38" t="n">
        <x:f t="shared" si="0">I28*J28</x:f>
        <x:v>0</x:v>
      </x:c>
      <x:c r="L28" s="3" t="str">
        <x:f>IFERROR(INDEX('POI数据库'!$Y$2:$Y$63,MATCH($B28,'POI数据库'!$A$2:$A$63,0)),"")</x:f>
      </x:c>
    </x:row>
  </x:sheetData>
  <x:mergeCells>
    <x:mergeCell ref="A1:L1"/>
  </x:mergeCells>
  <x:dataValidations count="2">
    <x:dataValidation type="list" sqref="F5">
      <x:formula1>"售价,成本"</x:formula1>
    </x:dataValidation>
    <x:dataValidation type="list" sqref="B9:B28">
      <x:formula1>POI数据库!$A$2:$A$63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2879ecb7a94c7e"/>
  </x:tableParts>
</x:worksheet>
</file>

<file path=xl/worksheets/sheet7.xml><?xml version="1.0" encoding="utf-8"?>
<x:worksheet xmlns:x="http://schemas.openxmlformats.org/spreadsheetml/2006/main">
  <x:sheetFormatPr defaultColWidth="9" defaultRowHeight="16.799999237060547"/>
  <x:cols>
    <x:col min="1" max="1" width="7.880000114440918" hidden="0" customWidth="1"/>
    <x:col min="2" max="2" width="9.75" hidden="0" customWidth="1"/>
    <x:col min="3" max="3" width="9.75" hidden="0" customWidth="1"/>
    <x:col min="5" max="5" width="28" hidden="0" customWidth="1"/>
    <x:col min="6" max="6" width="10.5" hidden="0" customWidth="1"/>
    <x:col min="7" max="7" width="17.1299991607666" hidden="0" customWidth="1"/>
    <x:col min="8" max="8" width="9.75" hidden="0" customWidth="1"/>
    <x:col min="9" max="9" width="9.75" hidden="0" customWidth="1"/>
    <x:col min="10" max="10" width="7.880000114440918" hidden="0" customWidth="1"/>
    <x:col min="11" max="11" width="9.75" hidden="0" customWidth="1"/>
    <x:col min="12" max="12" width="10.5" hidden="0" customWidth="1"/>
    <x:col min="13" max="13" width="9.75" hidden="0" customWidth="1"/>
    <x:col min="14" max="14" width="13" hidden="0" customWidth="1"/>
    <x:col min="15" max="15" width="17.1299991607666" hidden="0" customWidth="1"/>
    <x:col min="16" max="16" width="12.25" hidden="0" customWidth="1"/>
    <x:col min="17" max="17" width="13.75" hidden="0" customWidth="1"/>
    <x:col min="19" max="19" width="68.5" hidden="0" customWidth="1"/>
    <x:col min="20" max="20" width="10.5" hidden="0" customWidth="1"/>
    <x:col min="25" max="25" width="32" hidden="0" customWidth="1"/>
    <x:col min="26" max="26" width="32" hidden="0" customWidth="1"/>
    <x:col min="27" max="27" width="32" hidden="0" customWidth="1"/>
    <x:col min="28" max="28" width="32" hidden="0" customWidth="1"/>
    <x:col min="4" max="4" width="6.380000114440918" hidden="0" customWidth="1"/>
    <x:col min="18" max="18" width="9.75" hidden="0" customWidth="1"/>
    <x:col min="21" max="21" width="8.880000114440918" hidden="0" customWidth="1"/>
    <x:col min="22" max="22" width="12.25" hidden="0" customWidth="1"/>
    <x:col min="23" max="23" width="12.25" hidden="0" customWidth="1"/>
    <x:col min="24" max="24" width="9.75" hidden="0" customWidth="1"/>
    <x:col min="29" max="29" width="32" hidden="0" customWidth="1"/>
    <x:col min="30" max="30" width="32" hidden="0" customWidth="1"/>
    <x:col min="31" max="31" width="32" hidden="0" customWidth="1"/>
    <x:col min="32" max="32" width="32" hidden="0" customWidth="1"/>
  </x:cols>
  <x:sheetData>
    <x:row r="1">
      <x:c r="A1" s="55" t="str">
        <x:v>POI_ID</x:v>
      </x:c>
      <x:c r="B1" s="55" t="str">
        <x:v>一级模块</x:v>
      </x:c>
      <x:c r="C1" s="55" t="str">
        <x:v>二级类别</x:v>
      </x:c>
      <x:c r="D1" s="55" t="str">
        <x:v>地点</x:v>
      </x:c>
      <x:c r="E1" s="55" t="str">
        <x:v>POI名称</x:v>
      </x:c>
      <x:c r="F1" s="55" t="str">
        <x:v>子项/机构</x:v>
      </x:c>
      <x:c r="G1" s="55" t="str">
        <x:v>所属线路/适用场景</x:v>
      </x:c>
      <x:c r="H1" s="55" t="str">
        <x:v>线路定位</x:v>
      </x:c>
      <x:c r="I1" s="55" t="str">
        <x:v>兴趣类型</x:v>
      </x:c>
      <x:c r="J1" s="55" t="str">
        <x:v>节奏</x:v>
      </x:c>
      <x:c r="K1" s="55" t="str">
        <x:v>推荐时长</x:v>
      </x:c>
      <x:c r="L1" s="55" t="str">
        <x:v>时长_小时</x:v>
      </x:c>
      <x:c r="M1" s="55" t="str">
        <x:v>时长筛选</x:v>
      </x:c>
      <x:c r="N1" s="55" t="str">
        <x:v>适用行程天数</x:v>
      </x:c>
      <x:c r="O1" s="55" t="str">
        <x:v>医疗级别/体检等级</x:v>
      </x:c>
      <x:c r="P1" s="55" t="str">
        <x:v>检查范围</x:v>
      </x:c>
      <x:c r="Q1" s="55" t="str">
        <x:v>是否必选/可选</x:v>
      </x:c>
      <x:c r="R1" s="55" t="str">
        <x:v>价格状态</x:v>
      </x:c>
      <x:c r="S1" s="55" t="str">
        <x:v>价格显示</x:v>
      </x:c>
      <x:c r="T1" s="55" t="str">
        <x:v>成本价_元</x:v>
      </x:c>
      <x:c r="U1" s="55" t="str">
        <x:v>售价_元</x:v>
      </x:c>
      <x:c r="V1" s="55" t="str">
        <x:v>成本下限_元</x:v>
      </x:c>
      <x:c r="W1" s="55" t="str">
        <x:v>成本上限_元</x:v>
      </x:c>
      <x:c r="X1" s="55" t="str">
        <x:v>计价单位</x:v>
      </x:c>
      <x:c r="Y1" s="55" t="str">
        <x:v>价格说明</x:v>
      </x:c>
      <x:c r="Z1" s="55" t="str">
        <x:v>来源</x:v>
      </x:c>
      <x:c r="AA1" s="55" t="str">
        <x:v>备注</x:v>
      </x:c>
      <x:c r="AB1" s="55" t="str">
        <x:v>组合建议标签</x:v>
      </x:c>
      <x:c r="AC1" s="56" t="str">
        <x:v>售价下限_元</x:v>
      </x:c>
      <x:c r="AD1" s="56" t="str">
        <x:v>售价上限_元</x:v>
      </x:c>
      <x:c r="AE1" s="56" t="str">
        <x:v>利润倍率</x:v>
      </x:c>
      <x:c r="AF1" s="56" t="str">
        <x:v>待处理事项</x:v>
      </x:c>
    </x:row>
    <x:row r="2" ht="17">
      <x:c r="A2" s="3" t="str">
        <x:v>POI004</x:v>
      </x:c>
      <x:c r="B2" s="3" t="str">
        <x:v>体检</x:v>
      </x:c>
      <x:c r="C2" s="3" t="str">
        <x:v>医疗</x:v>
      </x:c>
      <x:c r="D2" s="3" t="str">
        <x:v>杭州</x:v>
      </x:c>
      <x:c r="E2" s="3" t="str">
        <x:v>邵逸夫B2</x:v>
      </x:c>
      <x:c r="F2" s="3" t="str">
        <x:v>25</x:v>
      </x:c>
      <x:c r="G2" s="3" t="str">
        <x:v>专项医疗</x:v>
      </x:c>
      <x:c r="H2" s="3" t="str">
        <x:v>通用</x:v>
      </x:c>
      <x:c r="I2" s="3" t="str">
        <x:v>体检</x:v>
      </x:c>
      <x:c r="J2" s="3" t="str">
        <x:v>医疗节奏</x:v>
      </x:c>
      <x:c r="K2" s="3" t="str">
        <x:v>2日</x:v>
      </x:c>
      <x:c r="L2" s="3" t="n">
        <x:v>16</x:v>
      </x:c>
      <x:c r="M2" s="3" t="str">
        <x:v>2日</x:v>
      </x:c>
      <x:c r="N2" s="3" t="n">
        <x:v>2</x:v>
      </x:c>
      <x:c r="O2" s="3" t="str">
        <x:v>医疗级别待确认</x:v>
      </x:c>
      <x:c r="P2" s="3" t="str">
        <x:v>单项/专项医疗</x:v>
      </x:c>
      <x:c r="Q2" s="3" t="str">
        <x:v>25</x:v>
      </x:c>
      <x:c r="R2" s="3" t="str">
        <x:v>部分补充</x:v>
      </x:c>
      <x:c r="S2" s="3" t="str">
        <x:v>成本12450/元/人/疗程；售价16185/元/人/疗程</x:v>
      </x:c>
      <x:c r="T2" s="38" t="n">
        <x:v>12450</x:v>
      </x:c>
      <x:c r="U2" s="38" t="n">
        <x:f>IF(ISBLANK(T2),"",ROUNDUP(T2*1.3,0))</x:f>
        <x:v>16185</x:v>
      </x:c>
      <x:c r="V2" s="38"/>
      <x:c r="W2" s="38"/>
      <x:c r="X2" s="3" t="str">
        <x:v>元/人/疗程</x:v>
      </x:c>
      <x:c r="Y2" s="3" t="str">
        <x:v>仅有点位与2日时长；需补医院专科项目报价</x:v>
      </x:c>
      <x:c r="Z2" s="3" t="str">
        <x:v>源点位表</x:v>
      </x:c>
      <x:c r="AA2" s="3" t="str">
        <x:v>仅有点位与2日时长；需补医院专科项目报价</x:v>
      </x:c>
      <x:c r="AB2" s="3" t="str">
        <x:v>专项医疗/需确认专科与报价</x:v>
      </x:c>
      <x:c r="AC2" s="40" t="str">
        <x:f>IF(ISBLANK(V2),"",ROUNDUP(V2*1.3,0))</x:f>
      </x:c>
      <x:c r="AD2" s="40" t="str">
        <x:f>IF(ISBLANK(W2),"",ROUNDUP(W2*1.3,0))</x:f>
      </x:c>
      <x:c r="AE2" s="40" t="n">
        <x:v>1.3</x:v>
      </x:c>
      <x:c r="AF2" t="str">
        <x:v>确认增值项目/预约规则/外地交通等</x:v>
      </x:c>
    </x:row>
    <x:row r="3" ht="17">
      <x:c r="A3" s="3" t="str">
        <x:v>POI023</x:v>
      </x:c>
      <x:c r="B3" s="3" t="str">
        <x:v>旅游</x:v>
      </x:c>
      <x:c r="C3" s="3" t="str">
        <x:v>体验</x:v>
      </x:c>
      <x:c r="D3" s="3" t="str">
        <x:v>杭州</x:v>
      </x:c>
      <x:c r="E3" s="3" t="str">
        <x:v>径山茶宴与宋代点茶体验</x:v>
      </x:c>
      <x:c r="F3" s="3" t="str">
        <x:v>25</x:v>
      </x:c>
      <x:c r="G3" s="3" t="str">
        <x:v>禅茶一味</x:v>
      </x:c>
      <x:c r="H3" s="3" t="str">
        <x:v>通用</x:v>
      </x:c>
      <x:c r="I3" s="3" t="str">
        <x:v>体验</x:v>
      </x:c>
      <x:c r="J3" s="3" t="str">
        <x:v>休闲</x:v>
      </x:c>
      <x:c r="K3" s="3" t="str">
        <x:v>1小时</x:v>
      </x:c>
      <x:c r="L3" s="3" t="n">
        <x:v>1</x:v>
      </x:c>
      <x:c r="M3" s="3" t="str">
        <x:v>0-1小时</x:v>
      </x:c>
      <x:c r="N3" s="3" t="n">
        <x:v>0.12</x:v>
      </x:c>
      <x:c r="O3" s="3" t="str">
        <x:v>25</x:v>
      </x:c>
      <x:c r="P3" s="3" t="str">
        <x:v>25</x:v>
      </x:c>
      <x:c r="Q3" s="3" t="str">
        <x:v>25</x:v>
      </x:c>
      <x:c r="R3" s="3" t="str">
        <x:v>部分补充</x:v>
      </x:c>
      <x:c r="S3" s="3" t="str">
        <x:v>径山茶礼官方免费；宋代点茶98/位；茶果待定；默认售价245/元/人（成本×1.3）</x:v>
      </x:c>
      <x:c r="T3" s="38" t="n">
        <x:v>188</x:v>
      </x:c>
      <x:c r="U3" s="38" t="n">
        <x:f>IF(ISBLANK(T3),"",ROUNDUP(T3*1.3,0))</x:f>
        <x:v>245</x:v>
      </x:c>
      <x:c r="V3" s="38" t="n">
        <x:v>0</x:v>
      </x:c>
      <x:c r="W3" s="38" t="n">
        <x:v>98</x:v>
      </x:c>
      <x:c r="X3" s="3" t="str">
        <x:v>元/人</x:v>
      </x:c>
      <x:c r="Y3" s="3" t="str">
        <x:v>径山茶礼需预约，预约上免费</x:v>
      </x:c>
      <x:c r="Z3" s="3" t="str">
        <x:v>康养文旅 p6-p7</x:v>
      </x:c>
      <x:c r="AA3" s="3" t="str">
        <x:v>径山茶礼需预约，预约上免费</x:v>
      </x:c>
      <x:c r="AB3" s="3" t="str">
        <x:v>禅茶/茶文化/疗愈</x:v>
      </x:c>
      <x:c r="AC3" s="40" t="n">
        <x:f>IF(ISBLANK(V3),"",ROUNDUP(V3*1.3,0))</x:f>
        <x:v>0</x:v>
      </x:c>
      <x:c r="AD3" s="40" t="n">
        <x:f>IF(ISBLANK(W3),"",ROUNDUP(W3*1.3,0))</x:f>
        <x:v>128</x:v>
      </x:c>
      <x:c r="AE3" s="40" t="n">
        <x:v>1.3</x:v>
      </x:c>
      <x:c r="AF3" t="str">
        <x:v>确认增值项目/预约规则/外地交通等</x:v>
      </x:c>
    </x:row>
    <x:row r="4" ht="17">
      <x:c r="A4" s="3" t="str">
        <x:v>POI025</x:v>
      </x:c>
      <x:c r="B4" s="3" t="str">
        <x:v>旅游</x:v>
      </x:c>
      <x:c r="C4" s="3" t="str">
        <x:v>体验</x:v>
      </x:c>
      <x:c r="D4" s="3" t="str">
        <x:v>杭州</x:v>
      </x:c>
      <x:c r="E4" s="3" t="str">
        <x:v>制作茶果子</x:v>
      </x:c>
      <x:c r="F4" s="3" t="str">
        <x:v>25</x:v>
      </x:c>
      <x:c r="G4" s="3" t="str">
        <x:v>禅茶一味</x:v>
      </x:c>
      <x:c r="H4" s="3" t="str">
        <x:v>通用</x:v>
      </x:c>
      <x:c r="I4" s="3" t="str">
        <x:v>体验</x:v>
      </x:c>
      <x:c r="J4" s="3" t="str">
        <x:v>休闲</x:v>
      </x:c>
      <x:c r="K4" s="3" t="str">
        <x:v>1.5小时</x:v>
      </x:c>
      <x:c r="L4" s="3" t="n">
        <x:v>1.5</x:v>
      </x:c>
      <x:c r="M4" s="3" t="str">
        <x:v>1-2小时</x:v>
      </x:c>
      <x:c r="N4" s="3" t="n">
        <x:v>0.19</x:v>
      </x:c>
      <x:c r="O4" s="3" t="str">
        <x:v>25</x:v>
      </x:c>
      <x:c r="P4" s="3" t="str">
        <x:v>25</x:v>
      </x:c>
      <x:c r="Q4" s="3" t="str">
        <x:v>25</x:v>
      </x:c>
      <x:c r="R4" s="3" t="str">
        <x:v>部分补充</x:v>
      </x:c>
      <x:c r="S4" s="3" t="str">
        <x:v>茶果制作待定；抄经59/位；默认售价78/元/人（成本×1.3）</x:v>
      </x:c>
      <x:c r="T4" s="38" t="n">
        <x:v>60</x:v>
      </x:c>
      <x:c r="U4" s="38" t="n">
        <x:f>IF(ISBLANK(T4),"",ROUNDUP(T4*1.3,0))</x:f>
        <x:v>78</x:v>
      </x:c>
      <x:c r="V4" s="38" t="n">
        <x:v>59</x:v>
      </x:c>
      <x:c r="W4" s="38" t="n">
        <x:v>59</x:v>
      </x:c>
      <x:c r="X4" s="3" t="str">
        <x:v>元/人</x:v>
      </x:c>
      <x:c r="Y4" s="3" t="str">
        <x:v>茶果子需补价</x:v>
      </x:c>
      <x:c r="Z4" s="3" t="str">
        <x:v>康养文旅 p7</x:v>
      </x:c>
      <x:c r="AA4" s="3" t="str">
        <x:v>茶果子需补价</x:v>
      </x:c>
      <x:c r="AB4" s="3" t="str">
        <x:v>禅茶/手作/亲子可选</x:v>
      </x:c>
      <x:c r="AC4" s="40" t="n">
        <x:f>IF(ISBLANK(V4),"",ROUNDUP(V4*1.3,0))</x:f>
        <x:v>77</x:v>
      </x:c>
      <x:c r="AD4" s="40" t="n">
        <x:f>IF(ISBLANK(W4),"",ROUNDUP(W4*1.3,0))</x:f>
        <x:v>77</x:v>
      </x:c>
      <x:c r="AE4" s="40" t="n">
        <x:v>1.3</x:v>
      </x:c>
      <x:c r="AF4" t="str">
        <x:v>确认增值项目/预约规则/外地交通等</x:v>
      </x:c>
    </x:row>
    <x:row r="5" ht="17">
      <x:c r="A5" s="3" t="str">
        <x:v>POI034</x:v>
      </x:c>
      <x:c r="B5" s="3" t="str">
        <x:v>旅游</x:v>
      </x:c>
      <x:c r="C5" s="3" t="str">
        <x:v>演出</x:v>
      </x:c>
      <x:c r="D5" s="3" t="str">
        <x:v>杭州</x:v>
      </x:c>
      <x:c r="E5" s="3" t="str">
        <x:v>钱江新城灯光秀夜游</x:v>
      </x:c>
      <x:c r="F5" s="3" t="str">
        <x:v>25</x:v>
      </x:c>
      <x:c r="G5" s="3" t="str">
        <x:v>数字生活街区/夜游</x:v>
      </x:c>
      <x:c r="H5" s="3" t="str">
        <x:v>通用</x:v>
      </x:c>
      <x:c r="I5" s="3" t="str">
        <x:v>演出</x:v>
      </x:c>
      <x:c r="J5" s="3" t="str">
        <x:v>休闲</x:v>
      </x:c>
      <x:c r="K5" s="3" t="str">
        <x:v>0.5小时</x:v>
      </x:c>
      <x:c r="L5" s="3" t="n">
        <x:v>0.5</x:v>
      </x:c>
      <x:c r="M5" s="3" t="str">
        <x:v>0-1小时</x:v>
      </x:c>
      <x:c r="N5" s="3" t="n">
        <x:v>0.06</x:v>
      </x:c>
      <x:c r="O5" s="3" t="str">
        <x:v>25</x:v>
      </x:c>
      <x:c r="P5" s="3" t="str">
        <x:v>25</x:v>
      </x:c>
      <x:c r="Q5" s="3" t="str">
        <x:v>25</x:v>
      </x:c>
      <x:c r="R5" s="3" t="str">
        <x:v>部分补充</x:v>
      </x:c>
      <x:c r="S5" s="3" t="str">
        <x:v>基础成本0/元/人；增值项目另计</x:v>
      </x:c>
      <x:c r="T5" s="38" t="n">
        <x:v>0</x:v>
      </x:c>
      <x:c r="U5" s="38" t="n">
        <x:f>IF(ISBLANK(T5),"",ROUNDUP(T5*1.3,0))</x:f>
        <x:v>0</x:v>
      </x:c>
      <x:c r="V5" s="38" t="n">
        <x:v>0</x:v>
      </x:c>
      <x:c r="W5" s="38"/>
      <x:c r="X5" s="3" t="str">
        <x:v>元/人</x:v>
      </x:c>
      <x:c r="Y5" s="3" t="str">
        <x:v>灯光秀本身可免费观赏；若含游船需补价</x:v>
      </x:c>
      <x:c r="Z5" s="3" t="str">
        <x:v>源点位表</x:v>
      </x:c>
      <x:c r="AA5" s="3" t="str">
        <x:v>灯光秀本身可免费观赏；若含游船需补价</x:v>
      </x:c>
      <x:c r="AB5" s="3" t="str">
        <x:v>夜游/城市风景</x:v>
      </x:c>
      <x:c r="AC5" s="40" t="n">
        <x:f>IF(ISBLANK(V5),"",ROUNDUP(V5*1.3,0))</x:f>
        <x:v>0</x:v>
      </x:c>
      <x:c r="AD5" s="40" t="str">
        <x:f>IF(ISBLANK(W5),"",ROUNDUP(W5*1.3,0))</x:f>
      </x:c>
      <x:c r="AE5" s="40" t="n">
        <x:v>1.3</x:v>
      </x:c>
      <x:c r="AF5" t="str">
        <x:v>确认增值项目/预约规则/外地交通等</x:v>
      </x:c>
    </x:row>
    <x:row r="6" ht="17">
      <x:c r="A6" s="3" t="str">
        <x:v>POI038</x:v>
      </x:c>
      <x:c r="B6" s="3" t="str">
        <x:v>旅游</x:v>
      </x:c>
      <x:c r="C6" s="3" t="str">
        <x:v>演出</x:v>
      </x:c>
      <x:c r="D6" s="3" t="str">
        <x:v>杭州</x:v>
      </x:c>
      <x:c r="E6" s="3" t="str">
        <x:v>德寿宫《德寿夜宴》</x:v>
      </x:c>
      <x:c r="F6" s="3" t="str">
        <x:v>25</x:v>
      </x:c>
      <x:c r="G6" s="3" t="str">
        <x:v>宋韵雅集</x:v>
      </x:c>
      <x:c r="H6" s="3" t="str">
        <x:v>通用</x:v>
      </x:c>
      <x:c r="I6" s="3" t="str">
        <x:v>演出</x:v>
      </x:c>
      <x:c r="J6" s="3" t="str">
        <x:v>适中</x:v>
      </x:c>
      <x:c r="K6" s="3" t="str">
        <x:v>2小时</x:v>
      </x:c>
      <x:c r="L6" s="3" t="n">
        <x:v>2</x:v>
      </x:c>
      <x:c r="M6" s="3" t="str">
        <x:v>1-2小时</x:v>
      </x:c>
      <x:c r="N6" s="3" t="n">
        <x:v>0.25</x:v>
      </x:c>
      <x:c r="O6" s="3" t="str">
        <x:v>25</x:v>
      </x:c>
      <x:c r="P6" s="3" t="str">
        <x:v>25</x:v>
      </x:c>
      <x:c r="Q6" s="3" t="str">
        <x:v>25</x:v>
      </x:c>
      <x:c r="R6" s="3" t="str">
        <x:v>部分补充</x:v>
      </x:c>
      <x:c r="S6" s="3" t="str">
        <x:v>参考宫宴晚餐+演出598；需确认德寿夜宴单独票价；默认售价258/元/人（成本×1.3）</x:v>
      </x:c>
      <x:c r="T6" s="38" t="n">
        <x:v>198</x:v>
      </x:c>
      <x:c r="U6" s="38" t="n">
        <x:f>IF(ISBLANK(T6),"",ROUNDUP(T6*1.3,0))</x:f>
        <x:v>258</x:v>
      </x:c>
      <x:c r="V6" s="38" t="n">
        <x:v>88</x:v>
      </x:c>
      <x:c r="W6" s="38" t="n">
        <x:v>198</x:v>
      </x:c>
      <x:c r="X6" s="3" t="str">
        <x:v>元/人</x:v>
      </x:c>
      <x:c r="Y6" s="3" t="str">
        <x:v>价格PDF未直接出现德寿夜宴，先挂靠宋韵宫宴</x:v>
      </x:c>
      <x:c r="Z6" s="3" t="str">
        <x:v>康养文旅 p12</x:v>
      </x:c>
      <x:c r="AA6" s="3" t="str">
        <x:v>价格PDF未直接出现德寿夜宴，先挂靠宋韵宫宴</x:v>
      </x:c>
      <x:c r="AB6" s="3" t="str">
        <x:v>宋韵/夜宴/演出</x:v>
      </x:c>
      <x:c r="AC6" s="40" t="n">
        <x:f>IF(ISBLANK(V6),"",ROUNDUP(V6*1.3,0))</x:f>
        <x:v>115</x:v>
      </x:c>
      <x:c r="AD6" s="40" t="n">
        <x:f>IF(ISBLANK(W6),"",ROUNDUP(W6*1.3,0))</x:f>
        <x:v>258</x:v>
      </x:c>
      <x:c r="AE6" s="40" t="n">
        <x:v>1.3</x:v>
      </x:c>
      <x:c r="AF6" t="str">
        <x:v>确认增值项目/预约规则/外地交通等</x:v>
      </x:c>
    </x:row>
    <x:row r="7" ht="17">
      <x:c r="A7" s="3" t="str">
        <x:v>POI039</x:v>
      </x:c>
      <x:c r="B7" s="3" t="str">
        <x:v>旅游</x:v>
      </x:c>
      <x:c r="C7" s="3" t="str">
        <x:v>杭州外</x:v>
      </x:c>
      <x:c r="D7" s="3" t="str">
        <x:v>上海</x:v>
      </x:c>
      <x:c r="E7" s="3" t="str">
        <x:v>豫园、城隍庙、上海老街</x:v>
      </x:c>
      <x:c r="F7" s="3" t="str">
        <x:v>25</x:v>
      </x:c>
      <x:c r="G7" s="3" t="str">
        <x:v>上海延伸</x:v>
      </x:c>
      <x:c r="H7" s="3" t="str">
        <x:v>通用</x:v>
      </x:c>
      <x:c r="I7" s="3" t="str">
        <x:v>杭州外</x:v>
      </x:c>
      <x:c r="J7" s="3" t="str">
        <x:v>适中</x:v>
      </x:c>
      <x:c r="K7" s="3" t="str">
        <x:v>2.5小时</x:v>
      </x:c>
      <x:c r="L7" s="3" t="n">
        <x:v>2.5</x:v>
      </x:c>
      <x:c r="M7" s="3" t="str">
        <x:v>2-4小时</x:v>
      </x:c>
      <x:c r="N7" s="3" t="n">
        <x:v>0.31</x:v>
      </x:c>
      <x:c r="O7" s="3" t="str">
        <x:v>25</x:v>
      </x:c>
      <x:c r="P7" s="3" t="str">
        <x:v>25</x:v>
      </x:c>
      <x:c r="Q7" s="3" t="str">
        <x:v>25</x:v>
      </x:c>
      <x:c r="R7" s="3" t="str">
        <x:v>部分补充</x:v>
      </x:c>
      <x:c r="S7" s="3" t="str">
        <x:v>基础成本0/元/人；增值项目另计</x:v>
      </x:c>
      <x:c r="T7" s="38" t="n">
        <x:v>0</x:v>
      </x:c>
      <x:c r="U7" s="38" t="n">
        <x:f>IF(ISBLANK(T7),"",ROUNDUP(T7*1.3,0))</x:f>
        <x:v>0</x:v>
      </x:c>
      <x:c r="V7" s="38" t="n">
        <x:v>0</x:v>
      </x:c>
      <x:c r="W7" s="38"/>
      <x:c r="X7" s="3" t="str">
        <x:v>元/人</x:v>
      </x:c>
      <x:c r="Y7" s="3" t="str">
        <x:v>杭州外点位需补上海本地门票/交通</x:v>
      </x:c>
      <x:c r="Z7" s="3" t="str">
        <x:v>源点位表</x:v>
      </x:c>
      <x:c r="AA7" s="3" t="str">
        <x:v>杭州外点位需补上海本地门票/交通</x:v>
      </x:c>
      <x:c r="AB7" s="3" t="str">
        <x:v>上海延伸/人文</x:v>
      </x:c>
      <x:c r="AC7" s="40" t="n">
        <x:f>IF(ISBLANK(V7),"",ROUNDUP(V7*1.3,0))</x:f>
        <x:v>0</x:v>
      </x:c>
      <x:c r="AD7" s="40" t="str">
        <x:f>IF(ISBLANK(W7),"",ROUNDUP(W7*1.3,0))</x:f>
      </x:c>
      <x:c r="AE7" s="40" t="n">
        <x:v>1.3</x:v>
      </x:c>
      <x:c r="AF7" t="str">
        <x:v>确认增值项目/预约规则/外地交通等</x:v>
      </x:c>
    </x:row>
    <x:row r="8" ht="17">
      <x:c r="A8" s="3" t="str">
        <x:v>POI040</x:v>
      </x:c>
      <x:c r="B8" s="3" t="str">
        <x:v>旅游</x:v>
      </x:c>
      <x:c r="C8" s="3" t="str">
        <x:v>杭州外</x:v>
      </x:c>
      <x:c r="D8" s="3" t="str">
        <x:v>上海</x:v>
      </x:c>
      <x:c r="E8" s="3" t="str">
        <x:v>浦东陆家嘴城市景观</x:v>
      </x:c>
      <x:c r="F8" s="3" t="str">
        <x:v>25</x:v>
      </x:c>
      <x:c r="G8" s="3" t="str">
        <x:v>上海延伸</x:v>
      </x:c>
      <x:c r="H8" s="3" t="str">
        <x:v>通用</x:v>
      </x:c>
      <x:c r="I8" s="3" t="str">
        <x:v>杭州外</x:v>
      </x:c>
      <x:c r="J8" s="3" t="str">
        <x:v>休闲</x:v>
      </x:c>
      <x:c r="K8" s="3" t="str">
        <x:v>1小时</x:v>
      </x:c>
      <x:c r="L8" s="3" t="n">
        <x:v>1</x:v>
      </x:c>
      <x:c r="M8" s="3" t="str">
        <x:v>0-1小时</x:v>
      </x:c>
      <x:c r="N8" s="3" t="n">
        <x:v>0.12</x:v>
      </x:c>
      <x:c r="O8" s="3" t="str">
        <x:v>25</x:v>
      </x:c>
      <x:c r="P8" s="3" t="str">
        <x:v>25</x:v>
      </x:c>
      <x:c r="Q8" s="3" t="str">
        <x:v>25</x:v>
      </x:c>
      <x:c r="R8" s="3" t="str">
        <x:v>部分补充</x:v>
      </x:c>
      <x:c r="S8" s="3" t="str">
        <x:v>基础成本0/元/人；增值项目另计</x:v>
      </x:c>
      <x:c r="T8" s="38" t="n">
        <x:v>0</x:v>
      </x:c>
      <x:c r="U8" s="38" t="n">
        <x:f>IF(ISBLANK(T8),"",ROUNDUP(T8*1.3,0))</x:f>
        <x:v>0</x:v>
      </x:c>
      <x:c r="V8" s="38" t="n">
        <x:v>0</x:v>
      </x:c>
      <x:c r="W8" s="38"/>
      <x:c r="X8" s="3" t="str">
        <x:v>元/人</x:v>
      </x:c>
      <x:c r="Y8" s="3" t="str">
        <x:v>杭州外点位需补上海本地门票/交通</x:v>
      </x:c>
      <x:c r="Z8" s="3" t="str">
        <x:v>源点位表</x:v>
      </x:c>
      <x:c r="AA8" s="3" t="str">
        <x:v>杭州外点位需补上海本地门票/交通</x:v>
      </x:c>
      <x:c r="AB8" s="3" t="str">
        <x:v>上海延伸/城市景观</x:v>
      </x:c>
      <x:c r="AC8" s="40" t="n">
        <x:f>IF(ISBLANK(V8),"",ROUNDUP(V8*1.3,0))</x:f>
        <x:v>0</x:v>
      </x:c>
      <x:c r="AD8" s="40" t="str">
        <x:f>IF(ISBLANK(W8),"",ROUNDUP(W8*1.3,0))</x:f>
      </x:c>
      <x:c r="AE8" s="40" t="n">
        <x:v>1.3</x:v>
      </x:c>
      <x:c r="AF8" t="str">
        <x:v>确认增值项目/预约规则/外地交通等</x:v>
      </x:c>
    </x:row>
    <x:row r="9" ht="17">
      <x:c r="A9" s="3" t="str">
        <x:v>POI041</x:v>
      </x:c>
      <x:c r="B9" s="3" t="str">
        <x:v>旅游</x:v>
      </x:c>
      <x:c r="C9" s="3" t="str">
        <x:v>杭州外</x:v>
      </x:c>
      <x:c r="D9" s="3" t="str">
        <x:v>上海</x:v>
      </x:c>
      <x:c r="E9" s="3" t="str">
        <x:v>外滩夜景 / 黄浦江游船（二选一）</x:v>
      </x:c>
      <x:c r="F9" s="3" t="str">
        <x:v>25</x:v>
      </x:c>
      <x:c r="G9" s="3" t="str">
        <x:v>上海延伸</x:v>
      </x:c>
      <x:c r="H9" s="3" t="str">
        <x:v>通用</x:v>
      </x:c>
      <x:c r="I9" s="3" t="str">
        <x:v>杭州外</x:v>
      </x:c>
      <x:c r="J9" s="3" t="str">
        <x:v>休闲</x:v>
      </x:c>
      <x:c r="K9" s="3" t="str">
        <x:v>1小时</x:v>
      </x:c>
      <x:c r="L9" s="3" t="n">
        <x:v>1</x:v>
      </x:c>
      <x:c r="M9" s="3" t="str">
        <x:v>0-1小时</x:v>
      </x:c>
      <x:c r="N9" s="3" t="n">
        <x:v>0.12</x:v>
      </x:c>
      <x:c r="O9" s="3" t="str">
        <x:v>25</x:v>
      </x:c>
      <x:c r="P9" s="3" t="str">
        <x:v>25</x:v>
      </x:c>
      <x:c r="Q9" s="3" t="str">
        <x:v>25</x:v>
      </x:c>
      <x:c r="R9" s="3" t="str">
        <x:v>部分补充</x:v>
      </x:c>
      <x:c r="S9" s="3" t="str">
        <x:v>基础成本0/元/人；增值项目另计</x:v>
      </x:c>
      <x:c r="T9" s="38" t="n">
        <x:v>0</x:v>
      </x:c>
      <x:c r="U9" s="38" t="n">
        <x:f>IF(ISBLANK(T9),"",ROUNDUP(T9*1.3,0))</x:f>
        <x:v>0</x:v>
      </x:c>
      <x:c r="V9" s="38" t="n">
        <x:v>0</x:v>
      </x:c>
      <x:c r="W9" s="38"/>
      <x:c r="X9" s="3" t="str">
        <x:v>元/人</x:v>
      </x:c>
      <x:c r="Y9" s="3" t="str">
        <x:v>黄浦江游船需补价</x:v>
      </x:c>
      <x:c r="Z9" s="3" t="str">
        <x:v>源点位表</x:v>
      </x:c>
      <x:c r="AA9" s="3" t="str">
        <x:v>黄浦江游船需补价</x:v>
      </x:c>
      <x:c r="AB9" s="3" t="str">
        <x:v>上海延伸/夜游</x:v>
      </x:c>
      <x:c r="AC9" s="40" t="n">
        <x:f>IF(ISBLANK(V9),"",ROUNDUP(V9*1.3,0))</x:f>
        <x:v>0</x:v>
      </x:c>
      <x:c r="AD9" s="40" t="str">
        <x:f>IF(ISBLANK(W9),"",ROUNDUP(W9*1.3,0))</x:f>
      </x:c>
      <x:c r="AE9" s="40" t="n">
        <x:v>1.3</x:v>
      </x:c>
      <x:c r="AF9" t="str">
        <x:v>确认增值项目/预约规则/外地交通等</x:v>
      </x:c>
    </x:row>
    <x:row r="10" ht="17">
      <x:c r="A10" s="3" t="str">
        <x:v>POI042</x:v>
      </x:c>
      <x:c r="B10" s="3" t="str">
        <x:v>旅游</x:v>
      </x:c>
      <x:c r="C10" s="3" t="str">
        <x:v>杭州外</x:v>
      </x:c>
      <x:c r="D10" s="3" t="str">
        <x:v>上海</x:v>
      </x:c>
      <x:c r="E10" s="3" t="str">
        <x:v>上海博物馆东馆</x:v>
      </x:c>
      <x:c r="F10" s="3" t="str">
        <x:v>25</x:v>
      </x:c>
      <x:c r="G10" s="3" t="str">
        <x:v>上海延伸</x:v>
      </x:c>
      <x:c r="H10" s="3" t="str">
        <x:v>通用</x:v>
      </x:c>
      <x:c r="I10" s="3" t="str">
        <x:v>杭州外</x:v>
      </x:c>
      <x:c r="J10" s="3" t="str">
        <x:v>适中</x:v>
      </x:c>
      <x:c r="K10" s="3" t="str">
        <x:v>2.5小时</x:v>
      </x:c>
      <x:c r="L10" s="3" t="n">
        <x:v>2.5</x:v>
      </x:c>
      <x:c r="M10" s="3" t="str">
        <x:v>2-4小时</x:v>
      </x:c>
      <x:c r="N10" s="3" t="n">
        <x:v>0.31</x:v>
      </x:c>
      <x:c r="O10" s="3" t="str">
        <x:v>25</x:v>
      </x:c>
      <x:c r="P10" s="3" t="str">
        <x:v>25</x:v>
      </x:c>
      <x:c r="Q10" s="3" t="str">
        <x:v>25</x:v>
      </x:c>
      <x:c r="R10" s="3" t="str">
        <x:v>部分补充</x:v>
      </x:c>
      <x:c r="S10" s="3" t="str">
        <x:v>基础成本0/元/人；增值项目另计</x:v>
      </x:c>
      <x:c r="T10" s="38" t="n">
        <x:v>0</x:v>
      </x:c>
      <x:c r="U10" s="38" t="n">
        <x:f>IF(ISBLANK(T10),"",ROUNDUP(T10*1.3,0))</x:f>
        <x:v>0</x:v>
      </x:c>
      <x:c r="V10" s="38" t="n">
        <x:v>0</x:v>
      </x:c>
      <x:c r="W10" s="38"/>
      <x:c r="X10" s="3" t="str">
        <x:v>元/人</x:v>
      </x:c>
      <x:c r="Y10" s="3" t="str">
        <x:v>杭州外点位需补预约/讲解费用</x:v>
      </x:c>
      <x:c r="Z10" s="3" t="str">
        <x:v>源点位表</x:v>
      </x:c>
      <x:c r="AA10" s="3" t="str">
        <x:v>杭州外点位需补预约/讲解费用</x:v>
      </x:c>
      <x:c r="AB10" s="3" t="str">
        <x:v>上海延伸/人文室内</x:v>
      </x:c>
      <x:c r="AC10" s="40" t="n">
        <x:f>IF(ISBLANK(V10),"",ROUNDUP(V10*1.3,0))</x:f>
        <x:v>0</x:v>
      </x:c>
      <x:c r="AD10" s="40" t="str">
        <x:f>IF(ISBLANK(W10),"",ROUNDUP(W10*1.3,0))</x:f>
      </x:c>
      <x:c r="AE10" s="40" t="n">
        <x:v>1.3</x:v>
      </x:c>
      <x:c r="AF10" t="str">
        <x:v>确认增值项目/预约规则/外地交通等</x:v>
      </x:c>
    </x:row>
    <x:row r="11" ht="17">
      <x:c r="A11" s="3" t="str">
        <x:v>POI043</x:v>
      </x:c>
      <x:c r="B11" s="3" t="str">
        <x:v>旅游</x:v>
      </x:c>
      <x:c r="C11" s="3" t="str">
        <x:v>杭州外</x:v>
      </x:c>
      <x:c r="D11" s="3" t="str">
        <x:v>义乌</x:v>
      </x:c>
      <x:c r="E11" s="3" t="str">
        <x:v>义乌国际商贸城一区/五区自由购物</x:v>
      </x:c>
      <x:c r="F11" s="3" t="str">
        <x:v>25</x:v>
      </x:c>
      <x:c r="G11" s="3" t="str">
        <x:v>义乌延伸</x:v>
      </x:c>
      <x:c r="H11" s="3" t="str">
        <x:v>通用</x:v>
      </x:c>
      <x:c r="I11" s="3" t="str">
        <x:v>杭州外</x:v>
      </x:c>
      <x:c r="J11" s="3" t="str">
        <x:v>适中</x:v>
      </x:c>
      <x:c r="K11" s="3" t="str">
        <x:v>2.5小时</x:v>
      </x:c>
      <x:c r="L11" s="3" t="n">
        <x:v>2.5</x:v>
      </x:c>
      <x:c r="M11" s="3" t="str">
        <x:v>2-4小时</x:v>
      </x:c>
      <x:c r="N11" s="3" t="n">
        <x:v>0.31</x:v>
      </x:c>
      <x:c r="O11" s="3" t="str">
        <x:v>25</x:v>
      </x:c>
      <x:c r="P11" s="3" t="str">
        <x:v>25</x:v>
      </x:c>
      <x:c r="Q11" s="3" t="str">
        <x:v>25</x:v>
      </x:c>
      <x:c r="R11" s="3" t="str">
        <x:v>部分补充</x:v>
      </x:c>
      <x:c r="S11" s="3" t="str">
        <x:v>基础成本0/元/人；增值项目另计</x:v>
      </x:c>
      <x:c r="T11" s="38" t="n">
        <x:v>0</x:v>
      </x:c>
      <x:c r="U11" s="38" t="n">
        <x:f>IF(ISBLANK(T11),"",ROUNDUP(T11*1.3,0))</x:f>
        <x:v>0</x:v>
      </x:c>
      <x:c r="V11" s="38" t="n">
        <x:v>0</x:v>
      </x:c>
      <x:c r="W11" s="38"/>
      <x:c r="X11" s="3" t="str">
        <x:v>元/人</x:v>
      </x:c>
      <x:c r="Y11" s="3" t="str">
        <x:v>需补杭州-义乌交通与导览费用</x:v>
      </x:c>
      <x:c r="Z11" s="3" t="str">
        <x:v>源点位表</x:v>
      </x:c>
      <x:c r="AA11" s="3" t="str">
        <x:v>需补杭州-义乌交通与导览费用</x:v>
      </x:c>
      <x:c r="AB11" s="3" t="str">
        <x:v>义乌延伸/商贸采购</x:v>
      </x:c>
      <x:c r="AC11" s="40" t="n">
        <x:f>IF(ISBLANK(V11),"",ROUNDUP(V11*1.3,0))</x:f>
        <x:v>0</x:v>
      </x:c>
      <x:c r="AD11" s="40" t="str">
        <x:f>IF(ISBLANK(W11),"",ROUNDUP(W11*1.3,0))</x:f>
      </x:c>
      <x:c r="AE11" s="40" t="n">
        <x:v>1.3</x:v>
      </x:c>
      <x:c r="AF11" t="str">
        <x:v>确认增值项目/预约规则/外地交通等</x:v>
      </x:c>
    </x:row>
    <x:row r="12" ht="17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8"/>
      <x:c r="U12" s="38"/>
      <x:c r="V12" s="38"/>
      <x:c r="W12" s="38"/>
      <x:c r="X12" s="3"/>
      <x:c r="Y12" s="3"/>
      <x:c r="Z12" s="3"/>
      <x:c r="AA12" s="3"/>
      <x:c r="AB12" s="3"/>
      <x:c r="AC12" s="40"/>
      <x:c r="AD12" s="40"/>
      <x:c r="AE12" s="40"/>
      <x:c r="AF12"/>
    </x:row>
    <x:row r="13" ht="17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8"/>
      <x:c r="U13" s="38"/>
      <x:c r="V13" s="38"/>
      <x:c r="W13" s="38"/>
      <x:c r="X13" s="3"/>
      <x:c r="Y13" s="3"/>
      <x:c r="Z13" s="3"/>
      <x:c r="AA13" s="3"/>
      <x:c r="AB13" s="3"/>
      <x:c r="AC13" s="40"/>
      <x:c r="AD13" s="40"/>
      <x:c r="AE13" s="40"/>
      <x:c r="AF13"/>
    </x:row>
    <x:row r="14" ht="17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8"/>
      <x:c r="U14" s="38"/>
      <x:c r="V14" s="38"/>
      <x:c r="W14" s="38"/>
      <x:c r="X14" s="3"/>
      <x:c r="Y14" s="3"/>
      <x:c r="Z14" s="3"/>
      <x:c r="AA14" s="3"/>
      <x:c r="AB14" s="3"/>
      <x:c r="AC14" s="40"/>
      <x:c r="AD14" s="40"/>
      <x:c r="AE14" s="40"/>
      <x:c r="AF14"/>
    </x:row>
    <x:row r="15" ht="17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8"/>
      <x:c r="U15" s="38"/>
      <x:c r="V15" s="38"/>
      <x:c r="W15" s="38"/>
      <x:c r="X15" s="3"/>
      <x:c r="Y15" s="3"/>
      <x:c r="Z15" s="3"/>
      <x:c r="AA15" s="3"/>
      <x:c r="AB15" s="3"/>
      <x:c r="AC15" s="40"/>
      <x:c r="AD15" s="40"/>
      <x:c r="AE15" s="40"/>
      <x:c r="AF15"/>
    </x:row>
    <x:row r="16" ht="17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8"/>
      <x:c r="U16" s="38"/>
      <x:c r="V16" s="38"/>
      <x:c r="W16" s="38"/>
      <x:c r="X16" s="3"/>
      <x:c r="Y16" s="3"/>
      <x:c r="Z16" s="3"/>
      <x:c r="AA16" s="3"/>
      <x:c r="AB16" s="3"/>
      <x:c r="AC16" s="40"/>
      <x:c r="AD16" s="40"/>
      <x:c r="AE16" s="40"/>
      <x:c r="AF16"/>
    </x:row>
    <x:row r="17" ht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8"/>
      <x:c r="U17" s="38"/>
      <x:c r="V17" s="38"/>
      <x:c r="W17" s="38"/>
      <x:c r="X17" s="3"/>
      <x:c r="Y17" s="3"/>
      <x:c r="Z17" s="3"/>
      <x:c r="AA17" s="3"/>
      <x:c r="AB17" s="3"/>
      <x:c r="AC17" s="40"/>
      <x:c r="AD17" s="40"/>
      <x:c r="AE17" s="40"/>
      <x:c r="AF17"/>
    </x:row>
    <x:row r="18" ht="17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8"/>
      <x:c r="U18" s="38"/>
      <x:c r="V18" s="38"/>
      <x:c r="W18" s="38"/>
      <x:c r="X18" s="3"/>
      <x:c r="Y18" s="3"/>
      <x:c r="Z18" s="3"/>
      <x:c r="AA18" s="3"/>
      <x:c r="AB18" s="3"/>
      <x:c r="AC18" s="40"/>
      <x:c r="AD18" s="40"/>
      <x:c r="AE18" s="40"/>
      <x:c r="AF18"/>
    </x:row>
    <x:row r="19" ht="17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8"/>
      <x:c r="U19" s="38"/>
      <x:c r="V19" s="38"/>
      <x:c r="W19" s="38"/>
      <x:c r="X19" s="3"/>
      <x:c r="Y19" s="3"/>
      <x:c r="Z19" s="3"/>
      <x:c r="AA19" s="3"/>
      <x:c r="AB19" s="3"/>
      <x:c r="AC19" s="40"/>
      <x:c r="AD19" s="40"/>
      <x:c r="AE19" s="40"/>
      <x:c r="AF19"/>
    </x:row>
    <x:row r="20" ht="17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8"/>
      <x:c r="U20" s="38"/>
      <x:c r="V20" s="38"/>
      <x:c r="W20" s="38"/>
      <x:c r="X20" s="3"/>
      <x:c r="Y20" s="3"/>
      <x:c r="Z20" s="3"/>
      <x:c r="AA20" s="3"/>
      <x:c r="AB20" s="3"/>
      <x:c r="AC20" s="40"/>
      <x:c r="AD20" s="40"/>
      <x:c r="AE20" s="40"/>
      <x:c r="AF20"/>
    </x:row>
    <x:row r="21" ht="17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8"/>
      <x:c r="U21" s="38"/>
      <x:c r="V21" s="38"/>
      <x:c r="W21" s="38"/>
      <x:c r="X21" s="3"/>
      <x:c r="Y21" s="3"/>
      <x:c r="Z21" s="3"/>
      <x:c r="AA21" s="3"/>
      <x:c r="AB21" s="3"/>
      <x:c r="AC21" s="40"/>
      <x:c r="AD21" s="40"/>
      <x:c r="AE21" s="40"/>
      <x:c r="AF21"/>
    </x:row>
    <x:row r="22" ht="17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8"/>
      <x:c r="U22" s="38"/>
      <x:c r="V22" s="38"/>
      <x:c r="W22" s="38"/>
      <x:c r="X22" s="3"/>
      <x:c r="Y22" s="3"/>
      <x:c r="Z22" s="3"/>
      <x:c r="AA22" s="3"/>
      <x:c r="AB22" s="3"/>
      <x:c r="AC22" s="40"/>
      <x:c r="AD22" s="40"/>
      <x:c r="AE22" s="40"/>
      <x:c r="AF22"/>
    </x:row>
    <x:row r="23" ht="17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8"/>
      <x:c r="U23" s="38"/>
      <x:c r="V23" s="38"/>
      <x:c r="W23" s="38"/>
      <x:c r="X23" s="3"/>
      <x:c r="Y23" s="3"/>
      <x:c r="Z23" s="3"/>
      <x:c r="AA23" s="3"/>
      <x:c r="AB23" s="3"/>
      <x:c r="AC23" s="40"/>
      <x:c r="AD23" s="40"/>
      <x:c r="AE23" s="40"/>
      <x:c r="AF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 s="40"/>
      <x:c r="U24" s="40"/>
      <x:c r="V24" s="40"/>
      <x:c r="W24" s="40"/>
      <x:c r="X24"/>
      <x:c r="Y24"/>
      <x:c r="Z24"/>
      <x:c r="AA24"/>
      <x:c r="AB24"/>
      <x:c r="AC24" s="40"/>
      <x:c r="AD24" s="40"/>
      <x:c r="AE24" s="40"/>
      <x:c r="AF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 s="40"/>
      <x:c r="U25" s="40"/>
      <x:c r="V25" s="40"/>
      <x:c r="W25" s="40"/>
      <x:c r="X25"/>
      <x:c r="Y25"/>
      <x:c r="Z25"/>
      <x:c r="AA25"/>
      <x:c r="AB25"/>
      <x:c r="AC25" s="40"/>
      <x:c r="AD25" s="40"/>
      <x:c r="AE25" s="40"/>
      <x:c r="AF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 s="40"/>
      <x:c r="U26" s="40"/>
      <x:c r="V26" s="40"/>
      <x:c r="W26" s="40"/>
      <x:c r="X26"/>
      <x:c r="Y26"/>
      <x:c r="Z26"/>
      <x:c r="AA26"/>
      <x:c r="AB26"/>
      <x:c r="AC26" s="40"/>
      <x:c r="AD26" s="40"/>
      <x:c r="AE26" s="40"/>
      <x:c r="AF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 s="40"/>
      <x:c r="U27" s="40"/>
      <x:c r="V27" s="40"/>
      <x:c r="W27" s="40"/>
      <x:c r="X27"/>
      <x:c r="Y27"/>
      <x:c r="Z27"/>
      <x:c r="AA27"/>
      <x:c r="AB27"/>
      <x:c r="AC27" s="40"/>
      <x:c r="AD27" s="40"/>
      <x:c r="AE27" s="40"/>
      <x:c r="AF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 s="40"/>
      <x:c r="U28" s="40"/>
      <x:c r="V28" s="40"/>
      <x:c r="W28" s="40"/>
      <x:c r="X28"/>
      <x:c r="Y28"/>
      <x:c r="Z28"/>
      <x:c r="AA28"/>
      <x:c r="AB28"/>
      <x:c r="AC28" s="40"/>
      <x:c r="AD28" s="40"/>
      <x:c r="AE28" s="40"/>
      <x:c r="AF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 s="40"/>
      <x:c r="U29" s="40"/>
      <x:c r="V29" s="40"/>
      <x:c r="W29" s="40"/>
      <x:c r="X29"/>
      <x:c r="Y29"/>
      <x:c r="Z29"/>
      <x:c r="AA29"/>
      <x:c r="AB29"/>
      <x:c r="AC29" s="40"/>
      <x:c r="AD29" s="40"/>
      <x:c r="AE29" s="40"/>
      <x:c r="AF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 s="40"/>
      <x:c r="U30" s="40"/>
      <x:c r="V30" s="40"/>
      <x:c r="W30" s="40"/>
      <x:c r="X30"/>
      <x:c r="Y30"/>
      <x:c r="Z30"/>
      <x:c r="AA30"/>
      <x:c r="AB30"/>
      <x:c r="AC30" s="40"/>
      <x:c r="AD30" s="40"/>
      <x:c r="AE30" s="40"/>
      <x:c r="AF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 s="40"/>
      <x:c r="U31" s="40"/>
      <x:c r="V31" s="40"/>
      <x:c r="W31" s="40"/>
      <x:c r="X31"/>
      <x:c r="Y31"/>
      <x:c r="Z31"/>
      <x:c r="AA31"/>
      <x:c r="AB31"/>
      <x:c r="AC31" s="40"/>
      <x:c r="AD31" s="40"/>
      <x:c r="AE31" s="40"/>
      <x:c r="AF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 s="40"/>
      <x:c r="U32" s="40"/>
      <x:c r="V32" s="40"/>
      <x:c r="W32" s="40"/>
      <x:c r="X32"/>
      <x:c r="Y32"/>
      <x:c r="Z32"/>
      <x:c r="AA32"/>
      <x:c r="AB32"/>
      <x:c r="AC32" s="40"/>
      <x:c r="AD32" s="40"/>
      <x:c r="AE32" s="40"/>
      <x:c r="AF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 s="40"/>
      <x:c r="U33" s="40"/>
      <x:c r="V33" s="40"/>
      <x:c r="W33" s="40"/>
      <x:c r="X33"/>
      <x:c r="Y33"/>
      <x:c r="Z33"/>
      <x:c r="AA33"/>
      <x:c r="AB33"/>
      <x:c r="AC33" s="40"/>
      <x:c r="AD33" s="40"/>
      <x:c r="AE33" s="40"/>
      <x:c r="AF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 s="40"/>
      <x:c r="U34" s="40"/>
      <x:c r="V34" s="40"/>
      <x:c r="W34" s="40"/>
      <x:c r="X34"/>
      <x:c r="Y34"/>
      <x:c r="Z34"/>
      <x:c r="AA34"/>
      <x:c r="AB34"/>
      <x:c r="AC34" s="40"/>
      <x:c r="AD34" s="40"/>
      <x:c r="AE34" s="40"/>
      <x:c r="AF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 s="40"/>
      <x:c r="U35" s="40"/>
      <x:c r="V35" s="40"/>
      <x:c r="W35" s="40"/>
      <x:c r="X35"/>
      <x:c r="Y35"/>
      <x:c r="Z35"/>
      <x:c r="AA35"/>
      <x:c r="AB35"/>
      <x:c r="AC35" s="40"/>
      <x:c r="AD35" s="40"/>
      <x:c r="AE35" s="40"/>
      <x:c r="AF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 s="40"/>
      <x:c r="U36" s="40"/>
      <x:c r="V36" s="40"/>
      <x:c r="W36" s="40"/>
      <x:c r="X36"/>
      <x:c r="Y36"/>
      <x:c r="Z36"/>
      <x:c r="AA36"/>
      <x:c r="AB36"/>
      <x:c r="AC36" s="40"/>
      <x:c r="AD36" s="40"/>
      <x:c r="AE36" s="40"/>
      <x:c r="AF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 s="40"/>
      <x:c r="U37" s="40"/>
      <x:c r="V37" s="40"/>
      <x:c r="W37" s="40"/>
      <x:c r="X37"/>
      <x:c r="Y37"/>
      <x:c r="Z37"/>
      <x:c r="AA37"/>
      <x:c r="AB37"/>
      <x:c r="AC37" s="40"/>
      <x:c r="AD37" s="40"/>
      <x:c r="AE37" s="40"/>
      <x:c r="AF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 s="40"/>
      <x:c r="U38" s="40"/>
      <x:c r="V38" s="40"/>
      <x:c r="W38" s="40"/>
      <x:c r="X38"/>
      <x:c r="Y38"/>
      <x:c r="Z38"/>
      <x:c r="AA38"/>
      <x:c r="AB38"/>
      <x:c r="AC38" s="40"/>
      <x:c r="AD38" s="40"/>
      <x:c r="AE38" s="40"/>
      <x:c r="AF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 s="40"/>
      <x:c r="U39" s="40"/>
      <x:c r="V39" s="40"/>
      <x:c r="W39" s="40"/>
      <x:c r="X39"/>
      <x:c r="Y39"/>
      <x:c r="Z39"/>
      <x:c r="AA39"/>
      <x:c r="AB39"/>
      <x:c r="AC39" s="40"/>
      <x:c r="AD39" s="40"/>
      <x:c r="AE39" s="40"/>
      <x:c r="AF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 s="40"/>
      <x:c r="U40" s="40"/>
      <x:c r="V40" s="40"/>
      <x:c r="W40" s="40"/>
      <x:c r="X40"/>
      <x:c r="Y40"/>
      <x:c r="Z40"/>
      <x:c r="AA40"/>
      <x:c r="AB40"/>
      <x:c r="AC40" s="40"/>
      <x:c r="AD40" s="40"/>
      <x:c r="AE40" s="40"/>
      <x:c r="AF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 s="40"/>
      <x:c r="U41" s="40"/>
      <x:c r="V41" s="40"/>
      <x:c r="W41" s="40"/>
      <x:c r="X41"/>
      <x:c r="Y41"/>
      <x:c r="Z41"/>
      <x:c r="AA41"/>
      <x:c r="AB41"/>
      <x:c r="AC41" s="40"/>
      <x:c r="AD41" s="40"/>
      <x:c r="AE41" s="40"/>
      <x:c r="AF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 s="40"/>
      <x:c r="U42" s="40"/>
      <x:c r="V42" s="40"/>
      <x:c r="W42" s="40"/>
      <x:c r="X42"/>
      <x:c r="Y42"/>
      <x:c r="Z42"/>
      <x:c r="AA42"/>
      <x:c r="AB42"/>
      <x:c r="AC42" s="40"/>
      <x:c r="AD42" s="40"/>
      <x:c r="AE42" s="40"/>
      <x:c r="AF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 s="40"/>
      <x:c r="U43" s="40"/>
      <x:c r="V43" s="40"/>
      <x:c r="W43" s="40"/>
      <x:c r="X43"/>
      <x:c r="Y43"/>
      <x:c r="Z43"/>
      <x:c r="AA43"/>
      <x:c r="AB43"/>
      <x:c r="AC43" s="40"/>
      <x:c r="AD43" s="40"/>
      <x:c r="AE43" s="40"/>
      <x:c r="AF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 s="40"/>
      <x:c r="U44" s="40"/>
      <x:c r="V44" s="40"/>
      <x:c r="W44" s="40"/>
      <x:c r="X44"/>
      <x:c r="Y44"/>
      <x:c r="Z44"/>
      <x:c r="AA44"/>
      <x:c r="AB44"/>
      <x:c r="AC44" s="40"/>
      <x:c r="AD44" s="40"/>
      <x:c r="AE44" s="40"/>
      <x:c r="AF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 s="40"/>
      <x:c r="U45" s="40"/>
      <x:c r="V45" s="40"/>
      <x:c r="W45" s="40"/>
      <x:c r="X45"/>
      <x:c r="Y45"/>
      <x:c r="Z45"/>
      <x:c r="AA45"/>
      <x:c r="AB45"/>
      <x:c r="AC45" s="40"/>
      <x:c r="AD45" s="40"/>
      <x:c r="AE45" s="40"/>
      <x:c r="AF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 s="40"/>
      <x:c r="U46" s="40"/>
      <x:c r="V46" s="40"/>
      <x:c r="W46" s="40"/>
      <x:c r="X46"/>
      <x:c r="Y46"/>
      <x:c r="Z46"/>
      <x:c r="AA46"/>
      <x:c r="AB46"/>
      <x:c r="AC46" s="40"/>
      <x:c r="AD46" s="40"/>
      <x:c r="AE46" s="40"/>
      <x:c r="AF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 s="40"/>
      <x:c r="U47" s="40"/>
      <x:c r="V47" s="40"/>
      <x:c r="W47" s="40"/>
      <x:c r="X47"/>
      <x:c r="Y47"/>
      <x:c r="Z47"/>
      <x:c r="AA47"/>
      <x:c r="AB47"/>
      <x:c r="AC47" s="40"/>
      <x:c r="AD47" s="40"/>
      <x:c r="AE47" s="40"/>
      <x:c r="AF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 s="40"/>
      <x:c r="U48" s="40"/>
      <x:c r="V48" s="40"/>
      <x:c r="W48" s="40"/>
      <x:c r="X48"/>
      <x:c r="Y48"/>
      <x:c r="Z48"/>
      <x:c r="AA48"/>
      <x:c r="AB48"/>
      <x:c r="AC48" s="40"/>
      <x:c r="AD48" s="40"/>
      <x:c r="AE48" s="40"/>
      <x:c r="AF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 s="40"/>
      <x:c r="U49" s="40"/>
      <x:c r="V49" s="40"/>
      <x:c r="W49" s="40"/>
      <x:c r="X49"/>
      <x:c r="Y49"/>
      <x:c r="Z49"/>
      <x:c r="AA49"/>
      <x:c r="AB49"/>
      <x:c r="AC49" s="40"/>
      <x:c r="AD49" s="40"/>
      <x:c r="AE49" s="40"/>
      <x:c r="AF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 s="40"/>
      <x:c r="U50" s="40"/>
      <x:c r="V50" s="40"/>
      <x:c r="W50" s="40"/>
      <x:c r="X50"/>
      <x:c r="Y50"/>
      <x:c r="Z50"/>
      <x:c r="AA50"/>
      <x:c r="AB50"/>
      <x:c r="AC50" s="40"/>
      <x:c r="AD50" s="40"/>
      <x:c r="AE50" s="40"/>
      <x:c r="AF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 s="40"/>
      <x:c r="U51" s="40"/>
      <x:c r="V51" s="40"/>
      <x:c r="W51" s="40"/>
      <x:c r="X51"/>
      <x:c r="Y51"/>
      <x:c r="Z51"/>
      <x:c r="AA51"/>
      <x:c r="AB51"/>
      <x:c r="AC51" s="40"/>
      <x:c r="AD51" s="40"/>
      <x:c r="AE51" s="40"/>
      <x:c r="AF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 s="40"/>
      <x:c r="U52" s="40"/>
      <x:c r="V52" s="40"/>
      <x:c r="W52" s="40"/>
      <x:c r="X52"/>
      <x:c r="Y52"/>
      <x:c r="Z52"/>
      <x:c r="AA52"/>
      <x:c r="AB52"/>
      <x:c r="AC52" s="40"/>
      <x:c r="AD52" s="40"/>
      <x:c r="AE52" s="40"/>
      <x:c r="AF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 s="40"/>
      <x:c r="U53" s="40"/>
      <x:c r="V53" s="40"/>
      <x:c r="W53" s="40"/>
      <x:c r="X53"/>
      <x:c r="Y53"/>
      <x:c r="Z53"/>
      <x:c r="AA53"/>
      <x:c r="AB53"/>
      <x:c r="AC53" s="40"/>
      <x:c r="AD53" s="40"/>
      <x:c r="AE53" s="40"/>
      <x:c r="AF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 s="40"/>
      <x:c r="U54" s="40"/>
      <x:c r="V54" s="40"/>
      <x:c r="W54" s="40"/>
      <x:c r="X54"/>
      <x:c r="Y54"/>
      <x:c r="Z54"/>
      <x:c r="AA54"/>
      <x:c r="AB54"/>
      <x:c r="AC54" s="40"/>
      <x:c r="AD54" s="40"/>
      <x:c r="AE54" s="40"/>
      <x:c r="AF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 s="40"/>
      <x:c r="U55" s="40"/>
      <x:c r="V55" s="40"/>
      <x:c r="W55" s="40"/>
      <x:c r="X55"/>
      <x:c r="Y55"/>
      <x:c r="Z55"/>
      <x:c r="AA55"/>
      <x:c r="AB55"/>
      <x:c r="AC55" s="40"/>
      <x:c r="AD55" s="40"/>
      <x:c r="AE55" s="40"/>
      <x:c r="AF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 s="40"/>
      <x:c r="U56" s="40"/>
      <x:c r="V56" s="40"/>
      <x:c r="W56" s="40"/>
      <x:c r="X56"/>
      <x:c r="Y56"/>
      <x:c r="Z56"/>
      <x:c r="AA56"/>
      <x:c r="AB56"/>
      <x:c r="AC56" s="40"/>
      <x:c r="AD56" s="40"/>
      <x:c r="AE56" s="40"/>
      <x:c r="AF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 s="40"/>
      <x:c r="U57" s="40"/>
      <x:c r="V57" s="40"/>
      <x:c r="W57" s="40"/>
      <x:c r="X57"/>
      <x:c r="Y57"/>
      <x:c r="Z57"/>
      <x:c r="AA57"/>
      <x:c r="AB57"/>
      <x:c r="AC57" s="40"/>
      <x:c r="AD57" s="40"/>
      <x:c r="AE57" s="40"/>
      <x:c r="AF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 s="40"/>
      <x:c r="U58" s="40"/>
      <x:c r="V58" s="40"/>
      <x:c r="W58" s="40"/>
      <x:c r="X58"/>
      <x:c r="Y58"/>
      <x:c r="Z58"/>
      <x:c r="AA58"/>
      <x:c r="AB58"/>
      <x:c r="AC58" s="40"/>
      <x:c r="AD58" s="40"/>
      <x:c r="AE58" s="40"/>
      <x:c r="AF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 s="40"/>
      <x:c r="U59" s="40"/>
      <x:c r="V59" s="40"/>
      <x:c r="W59" s="40"/>
      <x:c r="X59"/>
      <x:c r="Y59"/>
      <x:c r="Z59"/>
      <x:c r="AA59"/>
      <x:c r="AB59"/>
      <x:c r="AC59" s="40"/>
      <x:c r="AD59" s="40"/>
      <x:c r="AE59" s="40"/>
      <x:c r="AF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 s="40"/>
      <x:c r="U60" s="40"/>
      <x:c r="V60" s="40"/>
      <x:c r="W60" s="40"/>
      <x:c r="X60"/>
      <x:c r="Y60"/>
      <x:c r="Z60"/>
      <x:c r="AA60"/>
      <x:c r="AB60"/>
      <x:c r="AC60" s="40"/>
      <x:c r="AD60" s="40"/>
      <x:c r="AE60" s="40"/>
      <x:c r="AF60"/>
    </x:row>
  </x:sheetData>
  <x:conditionalFormatting sqref="R2:R23">
    <x:cfRule type="expression" dxfId="0" priority="1">
      <x:formula>R2="待确认"</x:formula>
    </x:cfRule>
    <x:cfRule type="expression" dxfId="1" priority="2">
      <x:formula>R2="部分补充"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a19619db3b472a"/>
  </x:tableParts>
</x:worksheet>
</file>

<file path=xl/worksheets/sheet8.xml><?xml version="1.0" encoding="utf-8"?>
<x:worksheet xmlns:x="http://schemas.openxmlformats.org/spreadsheetml/2006/main">
  <x:sheetFormatPr defaultColWidth="9" defaultRowHeight="16.799999237060547"/>
  <x:cols>
    <x:col min="1" max="1" width="20" customWidth="1"/>
    <x:col min="2" max="2" width="60" customWidth="1"/>
    <x:col min="3" max="3" width="36" customWidth="1"/>
  </x:cols>
  <x:sheetData>
    <x:row r="1">
      <x:c r="A1" s="26" t="s">
        <x:v>244</x:v>
      </x:c>
      <x:c r="B1" s="26" t="s">
        <x:v>245</x:v>
      </x:c>
      <x:c r="C1" s="26" t="s">
        <x:v>2</x:v>
      </x:c>
    </x:row>
    <x:row r="2" ht="17">
      <x:c r="A2" s="3" t="s">
        <x:v>237</x:v>
      </x:c>
      <x:c r="B2" s="3" t="s">
        <x:v>246</x:v>
      </x:c>
      <x:c r="C2" s="3" t="s">
        <x:v>247</x:v>
      </x:c>
    </x:row>
    <x:row r="3" ht="17">
      <x:c r="A3" s="3" t="s">
        <x:v>248</x:v>
      </x:c>
      <x:c r="B3" s="3" t="s">
        <x:v>249</x:v>
      </x:c>
      <x:c r="C3" s="3" t="s">
        <x:v>250</x:v>
      </x:c>
    </x:row>
    <x:row r="4" ht="17">
      <x:c r="A4" s="3" t="s">
        <x:v>251</x:v>
      </x:c>
      <x:c r="B4" s="3" t="s">
        <x:v>252</x:v>
      </x:c>
      <x:c r="C4" s="3" t="s">
        <x:v>253</x:v>
      </x:c>
    </x:row>
    <x:row r="5" ht="17">
      <x:c r="A5" s="3" t="s">
        <x:v>254</x:v>
      </x:c>
      <x:c r="B5" s="3" t="str">
        <x:v>休闲/适中/紧凑/医疗节奏/待确认</x:v>
      </x:c>
      <x:c r="C5" s="3" t="s">
        <x:v>255</x:v>
      </x:c>
    </x:row>
    <x:row r="6" ht="17">
      <x:c r="A6" s="3" t="s">
        <x:v>10</x:v>
      </x:c>
      <x:c r="B6" s="3" t="str">
        <x:v>已补充/区间价/多规格/部分补充/免费/待确认</x:v>
      </x:c>
      <x:c r="C6" s="3" t="s">
        <x:v>256</x:v>
      </x:c>
    </x:row>
    <x:row r="7" ht="17">
      <x:c r="A7" s="3" t="s">
        <x:v>257</x:v>
      </x:c>
      <x:c r="B7" s="3" t="str">
        <x:v>成本价_元、售价_元、成本下限_元、成本上限_元、售价下限_元、售价上限_元、价格显示、计价单位</x:v>
      </x:c>
      <x:c r="C7" s="3" t="s">
        <x:v>258</x:v>
      </x:c>
    </x:row>
    <x:row r="8" ht="17">
      <x:c r="A8" s="3" t="s">
        <x:v>259</x:v>
      </x:c>
      <x:c r="B8" s="3" t="s">
        <x:v>260</x:v>
      </x:c>
      <x:c r="C8" s="3" t="s">
        <x:v>261</x:v>
      </x:c>
    </x:row>
    <x:row r="9" ht="17">
      <x:c r="A9" s="3" t="s">
        <x:v>262</x:v>
      </x:c>
      <x:c r="B9" s="3" t="s">
        <x:v>263</x:v>
      </x:c>
      <x:c r="C9" s="3" t="s">
        <x:v>264</x:v>
      </x:c>
    </x:row>
    <x:row r="10" ht="17">
      <x:c r="A10" s="3" t="s">
        <x:v>265</x:v>
      </x:c>
      <x:c r="B10" s="3" t="s">
        <x:v>266</x:v>
      </x:c>
      <x:c r="C10" s="3" t="s">
        <x:v>267</x:v>
      </x:c>
    </x:row>
    <x:row r="11">
      <x:c r="A11" s="3"/>
      <x:c r="B11" s="3"/>
      <x:c r="C11" s="3"/>
    </x:row>
    <x:row r="12" ht="17">
      <x:c r="A12" s="3" t="s">
        <x:v>268</x:v>
      </x:c>
      <x:c r="B12" s="3" t="s">
        <x:v>269</x:v>
      </x:c>
      <x:c r="C12" s="3" t="s">
        <x:v>270</x:v>
      </x:c>
    </x:row>
    <x:row r="13">
      <x:c r="A13" t="str">
        <x:v>售价计算</x:v>
      </x:c>
      <x:c r="B13" t="str">
        <x:v>售价_元 = ROUNDUP(成本价_元×1.3,0)</x:v>
      </x:c>
      <x:c r="C13" t="str">
        <x:v>统一按30%毛利加价口径自动计算</x:v>
      </x:c>
    </x:row>
    <x:row r="14">
      <x:c r="A14" t="str">
        <x:v>多规格价格</x:v>
      </x:c>
      <x:c r="B14" t="str">
        <x:v>同一POI多档位建议一档一行；如暂不拆行，则用成本下限/上限记录区间</x:v>
      </x:c>
      <x:c r="C14" t="str">
        <x:v>避免把元/人和元/团混在一格</x:v>
      </x:c>
    </x:row>
    <x:row r="15">
      <x:c r="A15" t="str">
        <x:v>未补价清单</x:v>
      </x:c>
      <x:c r="B15" t="str">
        <x:v>只保留待确认或部分补充项</x:v>
      </x:c>
      <x:c r="C15" t="str">
        <x:v>补完后应同步回POI数据库</x:v>
      </x:c>
    </x:row>
    <x:row r="16">
      <x:c r="A16" t="str">
        <x:v>本次补价记录</x:v>
      </x:c>
      <x:c r="B16" t="str">
        <x:v>记录本次从未补价清单合并的项目</x:v>
      </x:c>
      <x:c r="C16" t="str">
        <x:v>便于回溯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6.799999237060547"/>
  <x:cols>
    <x:col min="1" max="1" width="10" customWidth="1"/>
    <x:col min="2" max="2" width="16" customWidth="1"/>
    <x:col min="3" max="3" width="12" customWidth="1"/>
    <x:col min="4" max="4" width="34" customWidth="1"/>
    <x:col min="5" max="5" width="16" customWidth="1"/>
    <x:col min="6" max="6" width="12" customWidth="1"/>
  </x:cols>
  <x:sheetData>
    <x:row r="1" ht="47">
      <x:c r="A1" s="1" t="s">
        <x:v>271</x:v>
      </x:c>
      <x:c r="B1" s="1" t="s">
        <x:v>272</x:v>
      </x:c>
      <x:c r="C1" s="1" t="s">
        <x:v>272</x:v>
      </x:c>
      <x:c r="D1" s="1" t="s">
        <x:v>272</x:v>
      </x:c>
      <x:c r="E1" s="1" t="s">
        <x:v>272</x:v>
      </x:c>
      <x:c r="F1" s="1" t="s">
        <x:v>272</x:v>
      </x:c>
    </x:row>
    <x:row r="2">
      <x:c r="A2" s="2" t="s">
        <x:v>273</x:v>
      </x:c>
      <x:c r="B2" s="2" t="s">
        <x:v>274</x:v>
      </x:c>
      <x:c r="C2" s="2" t="s">
        <x:v>30</x:v>
      </x:c>
      <x:c r="D2" s="2" t="s">
        <x:v>275</x:v>
      </x:c>
      <x:c r="E2" s="2" t="s">
        <x:v>272</x:v>
      </x:c>
      <x:c r="F2" s="2" t="s">
        <x:v>276</x:v>
      </x:c>
    </x:row>
    <x:row r="3" ht="17">
      <x:c r="A3" s="3" t="s">
        <x:v>12</x:v>
      </x:c>
      <x:c r="B3" s="3" t="s">
        <x:v>277</x:v>
      </x:c>
      <x:c r="C3" s="3" t="s">
        <x:v>278</x:v>
      </x:c>
      <x:c r="D3" s="3" t="s">
        <x:v>164</x:v>
      </x:c>
      <x:c r="E3" s="3" t="s">
        <x:v>279</x:v>
      </x:c>
      <x:c r="F3" s="3" t="s">
        <x:v>280</x:v>
      </x:c>
    </x:row>
    <x:row r="4" ht="17">
      <x:c r="A4" s="3" t="s">
        <x:v>272</x:v>
      </x:c>
      <x:c r="B4" s="3" t="s">
        <x:v>277</x:v>
      </x:c>
      <x:c r="C4" s="3" t="s">
        <x:v>278</x:v>
      </x:c>
      <x:c r="D4" s="3" t="s">
        <x:v>149</x:v>
      </x:c>
      <x:c r="E4" s="3" t="s">
        <x:v>272</x:v>
      </x:c>
      <x:c r="F4" s="3" t="s">
        <x:v>281</x:v>
      </x:c>
    </x:row>
    <x:row r="5" ht="17">
      <x:c r="A5" s="3" t="s">
        <x:v>272</x:v>
      </x:c>
      <x:c r="B5" s="3" t="s">
        <x:v>277</x:v>
      </x:c>
      <x:c r="C5" s="3" t="s">
        <x:v>278</x:v>
      </x:c>
      <x:c r="D5" s="3" t="s">
        <x:v>157</x:v>
      </x:c>
      <x:c r="E5" s="3" t="s">
        <x:v>272</x:v>
      </x:c>
      <x:c r="F5" s="3" t="s">
        <x:v>281</x:v>
      </x:c>
    </x:row>
    <x:row r="6" ht="17">
      <x:c r="A6" s="3" t="s">
        <x:v>272</x:v>
      </x:c>
      <x:c r="B6" s="3" t="s">
        <x:v>282</x:v>
      </x:c>
      <x:c r="C6" s="3" t="s">
        <x:v>278</x:v>
      </x:c>
      <x:c r="D6" s="3" t="s">
        <x:v>171</x:v>
      </x:c>
      <x:c r="E6" s="3" t="s">
        <x:v>272</x:v>
      </x:c>
      <x:c r="F6" s="3" t="s">
        <x:v>283</x:v>
      </x:c>
    </x:row>
    <x:row r="7" ht="17">
      <x:c r="A7" s="3" t="s">
        <x:v>14</x:v>
      </x:c>
      <x:c r="B7" s="3" t="s">
        <x:v>284</x:v>
      </x:c>
      <x:c r="C7" s="3" t="s">
        <x:v>278</x:v>
      </x:c>
      <x:c r="D7" s="3" t="s">
        <x:v>285</x:v>
      </x:c>
      <x:c r="E7" s="3" t="s">
        <x:v>272</x:v>
      </x:c>
      <x:c r="F7" s="3" t="s">
        <x:v>286</x:v>
      </x:c>
    </x:row>
    <x:row r="8" ht="17">
      <x:c r="A8" s="3" t="s">
        <x:v>272</x:v>
      </x:c>
      <x:c r="B8" s="3" t="s">
        <x:v>272</x:v>
      </x:c>
      <x:c r="C8" s="3" t="s">
        <x:v>278</x:v>
      </x:c>
      <x:c r="D8" s="3" t="s">
        <x:v>287</x:v>
      </x:c>
      <x:c r="E8" s="3" t="s">
        <x:v>272</x:v>
      </x:c>
      <x:c r="F8" s="3" t="s">
        <x:v>286</x:v>
      </x:c>
    </x:row>
    <x:row r="9" ht="17">
      <x:c r="A9" s="3" t="s">
        <x:v>272</x:v>
      </x:c>
      <x:c r="B9" s="3" t="s">
        <x:v>272</x:v>
      </x:c>
      <x:c r="C9" s="3" t="s">
        <x:v>278</x:v>
      </x:c>
      <x:c r="D9" s="3" t="s">
        <x:v>288</x:v>
      </x:c>
      <x:c r="E9" s="3" t="s">
        <x:v>272</x:v>
      </x:c>
      <x:c r="F9" s="3" t="s">
        <x:v>286</x:v>
      </x:c>
    </x:row>
    <x:row r="10" ht="17">
      <x:c r="A10" s="3" t="s">
        <x:v>272</x:v>
      </x:c>
      <x:c r="B10" s="3" t="s">
        <x:v>272</x:v>
      </x:c>
      <x:c r="C10" s="3" t="s">
        <x:v>278</x:v>
      </x:c>
      <x:c r="D10" s="3" t="s">
        <x:v>289</x:v>
      </x:c>
      <x:c r="E10" s="3" t="s">
        <x:v>272</x:v>
      </x:c>
      <x:c r="F10" s="3" t="s">
        <x:v>290</x:v>
      </x:c>
    </x:row>
    <x:row r="11" ht="17">
      <x:c r="A11" s="3" t="s">
        <x:v>272</x:v>
      </x:c>
      <x:c r="B11" s="3" t="s">
        <x:v>291</x:v>
      </x:c>
      <x:c r="C11" s="3" t="s">
        <x:v>278</x:v>
      </x:c>
      <x:c r="D11" s="3" t="s">
        <x:v>292</x:v>
      </x:c>
      <x:c r="E11" s="3" t="s">
        <x:v>272</x:v>
      </x:c>
      <x:c r="F11" s="3" t="s">
        <x:v>290</x:v>
      </x:c>
    </x:row>
    <x:row r="12" ht="17">
      <x:c r="A12" s="3" t="s">
        <x:v>272</x:v>
      </x:c>
      <x:c r="B12" s="3" t="s">
        <x:v>272</x:v>
      </x:c>
      <x:c r="C12" s="3" t="s">
        <x:v>278</x:v>
      </x:c>
      <x:c r="D12" s="3" t="s">
        <x:v>293</x:v>
      </x:c>
      <x:c r="E12" s="3" t="s">
        <x:v>272</x:v>
      </x:c>
      <x:c r="F12" s="3" t="s">
        <x:v>294</x:v>
      </x:c>
    </x:row>
    <x:row r="13" ht="17">
      <x:c r="A13" s="3" t="s">
        <x:v>272</x:v>
      </x:c>
      <x:c r="B13" s="3" t="s">
        <x:v>272</x:v>
      </x:c>
      <x:c r="C13" s="3" t="s">
        <x:v>278</x:v>
      </x:c>
      <x:c r="D13" s="3" t="s">
        <x:v>295</x:v>
      </x:c>
      <x:c r="E13" s="3" t="s">
        <x:v>272</x:v>
      </x:c>
      <x:c r="F13" s="3" t="s">
        <x:v>296</x:v>
      </x:c>
    </x:row>
    <x:row r="14" ht="17">
      <x:c r="A14" s="3" t="s">
        <x:v>272</x:v>
      </x:c>
      <x:c r="B14" s="3" t="s">
        <x:v>272</x:v>
      </x:c>
      <x:c r="C14" s="3" t="s">
        <x:v>278</x:v>
      </x:c>
      <x:c r="D14" s="3" t="s">
        <x:v>297</x:v>
      </x:c>
      <x:c r="E14" s="3" t="s">
        <x:v>272</x:v>
      </x:c>
      <x:c r="F14" s="3" t="s">
        <x:v>290</x:v>
      </x:c>
    </x:row>
    <x:row r="15" ht="17">
      <x:c r="A15" s="3" t="s">
        <x:v>272</x:v>
      </x:c>
      <x:c r="B15" s="3" t="s">
        <x:v>272</x:v>
      </x:c>
      <x:c r="C15" s="3" t="s">
        <x:v>278</x:v>
      </x:c>
      <x:c r="D15" s="3" t="s">
        <x:v>298</x:v>
      </x:c>
      <x:c r="E15" s="3" t="s">
        <x:v>272</x:v>
      </x:c>
      <x:c r="F15" s="3" t="s">
        <x:v>296</x:v>
      </x:c>
    </x:row>
    <x:row r="16" ht="17">
      <x:c r="A16" s="3" t="s">
        <x:v>272</x:v>
      </x:c>
      <x:c r="B16" s="3" t="s">
        <x:v>272</x:v>
      </x:c>
      <x:c r="C16" s="3" t="s">
        <x:v>278</x:v>
      </x:c>
      <x:c r="D16" s="3" t="s">
        <x:v>299</x:v>
      </x:c>
      <x:c r="E16" s="3" t="s">
        <x:v>272</x:v>
      </x:c>
      <x:c r="F16" s="3" t="s">
        <x:v>294</x:v>
      </x:c>
    </x:row>
    <x:row r="17" ht="17">
      <x:c r="A17" s="3" t="s">
        <x:v>272</x:v>
      </x:c>
      <x:c r="B17" s="3" t="s">
        <x:v>272</x:v>
      </x:c>
      <x:c r="C17" s="3" t="s">
        <x:v>278</x:v>
      </x:c>
      <x:c r="D17" s="3" t="s">
        <x:v>300</x:v>
      </x:c>
      <x:c r="E17" s="3" t="s">
        <x:v>272</x:v>
      </x:c>
      <x:c r="F17" s="3" t="s">
        <x:v>294</x:v>
      </x:c>
    </x:row>
    <x:row r="18" ht="17">
      <x:c r="A18" s="3" t="s">
        <x:v>272</x:v>
      </x:c>
      <x:c r="B18" s="3" t="s">
        <x:v>272</x:v>
      </x:c>
      <x:c r="C18" s="3" t="s">
        <x:v>278</x:v>
      </x:c>
      <x:c r="D18" s="3" t="s">
        <x:v>301</x:v>
      </x:c>
      <x:c r="E18" s="3" t="s">
        <x:v>272</x:v>
      </x:c>
      <x:c r="F18" s="3" t="s">
        <x:v>290</x:v>
      </x:c>
    </x:row>
    <x:row r="19" ht="17">
      <x:c r="A19" s="3" t="s">
        <x:v>272</x:v>
      </x:c>
      <x:c r="B19" s="3" t="s">
        <x:v>302</x:v>
      </x:c>
      <x:c r="C19" s="3" t="s">
        <x:v>278</x:v>
      </x:c>
      <x:c r="D19" s="3" t="s">
        <x:v>303</x:v>
      </x:c>
      <x:c r="E19" s="3" t="s">
        <x:v>272</x:v>
      </x:c>
      <x:c r="F19" s="3" t="s">
        <x:v>304</x:v>
      </x:c>
    </x:row>
    <x:row r="20" ht="17">
      <x:c r="A20" s="3" t="s">
        <x:v>272</x:v>
      </x:c>
      <x:c r="B20" s="3" t="s">
        <x:v>272</x:v>
      </x:c>
      <x:c r="C20" s="3" t="s">
        <x:v>278</x:v>
      </x:c>
      <x:c r="D20" s="3" t="s">
        <x:v>305</x:v>
      </x:c>
      <x:c r="E20" s="3" t="s">
        <x:v>272</x:v>
      </x:c>
      <x:c r="F20" s="3" t="s">
        <x:v>286</x:v>
      </x:c>
    </x:row>
    <x:row r="21" ht="17">
      <x:c r="A21" s="3" t="s">
        <x:v>272</x:v>
      </x:c>
      <x:c r="B21" s="3" t="s">
        <x:v>272</x:v>
      </x:c>
      <x:c r="C21" s="3" t="s">
        <x:v>278</x:v>
      </x:c>
      <x:c r="D21" s="3" t="s">
        <x:v>306</x:v>
      </x:c>
      <x:c r="E21" s="3" t="s">
        <x:v>272</x:v>
      </x:c>
      <x:c r="F21" s="3" t="s">
        <x:v>290</x:v>
      </x:c>
    </x:row>
    <x:row r="22" ht="17">
      <x:c r="A22" s="3" t="s">
        <x:v>272</x:v>
      </x:c>
      <x:c r="B22" s="3" t="s">
        <x:v>272</x:v>
      </x:c>
      <x:c r="C22" s="3" t="s">
        <x:v>278</x:v>
      </x:c>
      <x:c r="D22" s="3" t="s">
        <x:v>307</x:v>
      </x:c>
      <x:c r="E22" s="3" t="s">
        <x:v>272</x:v>
      </x:c>
      <x:c r="F22" s="3" t="s">
        <x:v>290</x:v>
      </x:c>
    </x:row>
    <x:row r="23" ht="17">
      <x:c r="A23" s="3" t="s">
        <x:v>272</x:v>
      </x:c>
      <x:c r="B23" s="3" t="s">
        <x:v>272</x:v>
      </x:c>
      <x:c r="C23" s="3" t="s">
        <x:v>278</x:v>
      </x:c>
      <x:c r="D23" s="3" t="s">
        <x:v>308</x:v>
      </x:c>
      <x:c r="E23" s="3" t="s">
        <x:v>272</x:v>
      </x:c>
      <x:c r="F23" s="3" t="s">
        <x:v>286</x:v>
      </x:c>
    </x:row>
    <x:row r="24" ht="17">
      <x:c r="A24" s="3" t="s">
        <x:v>272</x:v>
      </x:c>
      <x:c r="B24" s="3" t="s">
        <x:v>272</x:v>
      </x:c>
      <x:c r="C24" s="3" t="s">
        <x:v>278</x:v>
      </x:c>
      <x:c r="D24" s="3" t="s">
        <x:v>309</x:v>
      </x:c>
      <x:c r="E24" s="3" t="s">
        <x:v>272</x:v>
      </x:c>
      <x:c r="F24" s="3" t="s">
        <x:v>286</x:v>
      </x:c>
    </x:row>
    <x:row r="25" ht="17">
      <x:c r="A25" s="3" t="s">
        <x:v>272</x:v>
      </x:c>
      <x:c r="B25" s="3" t="s">
        <x:v>272</x:v>
      </x:c>
      <x:c r="C25" s="3" t="s">
        <x:v>278</x:v>
      </x:c>
      <x:c r="D25" s="3" t="s">
        <x:v>310</x:v>
      </x:c>
      <x:c r="E25" s="3" t="s">
        <x:v>272</x:v>
      </x:c>
      <x:c r="F25" s="3" t="s">
        <x:v>286</x:v>
      </x:c>
    </x:row>
    <x:row r="26" ht="17">
      <x:c r="A26" s="3" t="s">
        <x:v>272</x:v>
      </x:c>
      <x:c r="B26" s="3" t="s">
        <x:v>272</x:v>
      </x:c>
      <x:c r="C26" s="3" t="s">
        <x:v>278</x:v>
      </x:c>
      <x:c r="D26" s="3" t="s">
        <x:v>311</x:v>
      </x:c>
      <x:c r="E26" s="3" t="s">
        <x:v>272</x:v>
      </x:c>
      <x:c r="F26" s="3" t="s">
        <x:v>286</x:v>
      </x:c>
    </x:row>
    <x:row r="27" ht="17">
      <x:c r="A27" s="3" t="s">
        <x:v>272</x:v>
      </x:c>
      <x:c r="B27" s="3" t="s">
        <x:v>272</x:v>
      </x:c>
      <x:c r="C27" s="3" t="s">
        <x:v>278</x:v>
      </x:c>
      <x:c r="D27" s="3" t="s">
        <x:v>312</x:v>
      </x:c>
      <x:c r="E27" s="3" t="s">
        <x:v>272</x:v>
      </x:c>
      <x:c r="F27" s="3" t="s">
        <x:v>290</x:v>
      </x:c>
    </x:row>
    <x:row r="28" ht="17">
      <x:c r="A28" s="3" t="s">
        <x:v>272</x:v>
      </x:c>
      <x:c r="B28" s="3" t="s">
        <x:v>272</x:v>
      </x:c>
      <x:c r="C28" s="3" t="s">
        <x:v>278</x:v>
      </x:c>
      <x:c r="D28" s="3" t="s">
        <x:v>313</x:v>
      </x:c>
      <x:c r="E28" s="3" t="s">
        <x:v>272</x:v>
      </x:c>
      <x:c r="F28" s="3" t="s">
        <x:v>290</x:v>
      </x:c>
    </x:row>
    <x:row r="29" ht="17">
      <x:c r="A29" s="3" t="s">
        <x:v>272</x:v>
      </x:c>
      <x:c r="B29" s="3" t="s">
        <x:v>314</x:v>
      </x:c>
      <x:c r="C29" s="3" t="s">
        <x:v>278</x:v>
      </x:c>
      <x:c r="D29" s="3" t="s">
        <x:v>315</x:v>
      </x:c>
      <x:c r="E29" s="3" t="s">
        <x:v>272</x:v>
      </x:c>
      <x:c r="F29" s="3" t="s">
        <x:v>296</x:v>
      </x:c>
    </x:row>
    <x:row r="30" ht="17">
      <x:c r="A30" s="3" t="s">
        <x:v>272</x:v>
      </x:c>
      <x:c r="B30" s="3" t="s">
        <x:v>272</x:v>
      </x:c>
      <x:c r="C30" s="3" t="s">
        <x:v>278</x:v>
      </x:c>
      <x:c r="D30" s="3" t="s">
        <x:v>316</x:v>
      </x:c>
      <x:c r="E30" s="3" t="s">
        <x:v>272</x:v>
      </x:c>
      <x:c r="F30" s="3" t="s">
        <x:v>290</x:v>
      </x:c>
    </x:row>
    <x:row r="31" ht="17">
      <x:c r="A31" s="3" t="s">
        <x:v>272</x:v>
      </x:c>
      <x:c r="B31" s="3" t="s">
        <x:v>272</x:v>
      </x:c>
      <x:c r="C31" s="3" t="s">
        <x:v>278</x:v>
      </x:c>
      <x:c r="D31" s="3" t="s">
        <x:v>317</x:v>
      </x:c>
      <x:c r="E31" s="3" t="s">
        <x:v>272</x:v>
      </x:c>
      <x:c r="F31" s="3" t="s">
        <x:v>286</x:v>
      </x:c>
    </x:row>
    <x:row r="32" ht="17">
      <x:c r="A32" s="3" t="s">
        <x:v>272</x:v>
      </x:c>
      <x:c r="B32" s="3" t="s">
        <x:v>272</x:v>
      </x:c>
      <x:c r="C32" s="3" t="s">
        <x:v>278</x:v>
      </x:c>
      <x:c r="D32" s="3" t="s">
        <x:v>318</x:v>
      </x:c>
      <x:c r="E32" s="3" t="s">
        <x:v>272</x:v>
      </x:c>
      <x:c r="F32" s="3" t="s">
        <x:v>290</x:v>
      </x:c>
    </x:row>
    <x:row r="33" ht="17">
      <x:c r="A33" s="3" t="s">
        <x:v>272</x:v>
      </x:c>
      <x:c r="B33" s="3" t="s">
        <x:v>272</x:v>
      </x:c>
      <x:c r="C33" s="3" t="s">
        <x:v>278</x:v>
      </x:c>
      <x:c r="D33" s="3" t="s">
        <x:v>319</x:v>
      </x:c>
      <x:c r="E33" s="3" t="s">
        <x:v>272</x:v>
      </x:c>
      <x:c r="F33" s="3" t="s">
        <x:v>290</x:v>
      </x:c>
    </x:row>
    <x:row r="34" ht="17">
      <x:c r="A34" s="3" t="s">
        <x:v>272</x:v>
      </x:c>
      <x:c r="B34" s="3" t="s">
        <x:v>272</x:v>
      </x:c>
      <x:c r="C34" s="3" t="s">
        <x:v>278</x:v>
      </x:c>
      <x:c r="D34" s="3" t="s">
        <x:v>320</x:v>
      </x:c>
      <x:c r="E34" s="3" t="s">
        <x:v>272</x:v>
      </x:c>
      <x:c r="F34" s="3" t="s">
        <x:v>290</x:v>
      </x:c>
    </x:row>
    <x:row r="35" ht="17">
      <x:c r="A35" s="3" t="s">
        <x:v>272</x:v>
      </x:c>
      <x:c r="B35" s="3" t="s">
        <x:v>272</x:v>
      </x:c>
      <x:c r="C35" s="3" t="s">
        <x:v>278</x:v>
      </x:c>
      <x:c r="D35" s="3" t="s">
        <x:v>321</x:v>
      </x:c>
      <x:c r="E35" s="3" t="s">
        <x:v>272</x:v>
      </x:c>
      <x:c r="F35" s="3" t="s">
        <x:v>290</x:v>
      </x:c>
    </x:row>
    <x:row r="36" ht="17">
      <x:c r="A36" s="3" t="s">
        <x:v>272</x:v>
      </x:c>
      <x:c r="B36" s="3" t="s">
        <x:v>322</x:v>
      </x:c>
      <x:c r="C36" s="3" t="s">
        <x:v>278</x:v>
      </x:c>
      <x:c r="D36" s="3" t="s">
        <x:v>323</x:v>
      </x:c>
      <x:c r="E36" s="3" t="s">
        <x:v>272</x:v>
      </x:c>
      <x:c r="F36" s="3" t="s">
        <x:v>304</x:v>
      </x:c>
    </x:row>
    <x:row r="37" ht="17">
      <x:c r="A37" s="3" t="s">
        <x:v>272</x:v>
      </x:c>
      <x:c r="B37" s="3" t="s">
        <x:v>272</x:v>
      </x:c>
      <x:c r="C37" s="3" t="s">
        <x:v>278</x:v>
      </x:c>
      <x:c r="D37" s="3" t="s">
        <x:v>324</x:v>
      </x:c>
      <x:c r="E37" s="3" t="s">
        <x:v>272</x:v>
      </x:c>
      <x:c r="F37" s="3" t="s">
        <x:v>294</x:v>
      </x:c>
    </x:row>
    <x:row r="38" ht="17">
      <x:c r="A38" s="3" t="s">
        <x:v>272</x:v>
      </x:c>
      <x:c r="B38" s="3" t="s">
        <x:v>272</x:v>
      </x:c>
      <x:c r="C38" s="3" t="s">
        <x:v>278</x:v>
      </x:c>
      <x:c r="D38" s="3" t="s">
        <x:v>325</x:v>
      </x:c>
      <x:c r="E38" s="3" t="s">
        <x:v>272</x:v>
      </x:c>
      <x:c r="F38" s="3" t="s">
        <x:v>286</x:v>
      </x:c>
    </x:row>
    <x:row r="39" ht="17">
      <x:c r="A39" s="3" t="s">
        <x:v>272</x:v>
      </x:c>
      <x:c r="B39" s="3" t="s">
        <x:v>272</x:v>
      </x:c>
      <x:c r="C39" s="3" t="s">
        <x:v>278</x:v>
      </x:c>
      <x:c r="D39" s="3" t="s">
        <x:v>326</x:v>
      </x:c>
      <x:c r="E39" s="3" t="s">
        <x:v>272</x:v>
      </x:c>
      <x:c r="F39" s="3" t="s">
        <x:v>286</x:v>
      </x:c>
    </x:row>
    <x:row r="40" ht="17">
      <x:c r="A40" s="3" t="s">
        <x:v>272</x:v>
      </x:c>
      <x:c r="B40" s="3" t="s">
        <x:v>272</x:v>
      </x:c>
      <x:c r="C40" s="3" t="s">
        <x:v>278</x:v>
      </x:c>
      <x:c r="D40" s="3" t="s">
        <x:v>327</x:v>
      </x:c>
      <x:c r="E40" s="3" t="s">
        <x:v>272</x:v>
      </x:c>
      <x:c r="F40" s="3" t="s">
        <x:v>294</x:v>
      </x:c>
    </x:row>
    <x:row r="41" ht="17">
      <x:c r="A41" s="3" t="s">
        <x:v>272</x:v>
      </x:c>
      <x:c r="B41" s="3" t="s">
        <x:v>328</x:v>
      </x:c>
      <x:c r="C41" s="3" t="s">
        <x:v>329</x:v>
      </x:c>
      <x:c r="D41" s="3" t="s">
        <x:v>330</x:v>
      </x:c>
      <x:c r="E41" s="3" t="s">
        <x:v>272</x:v>
      </x:c>
      <x:c r="F41" s="3" t="s">
        <x:v>296</x:v>
      </x:c>
    </x:row>
    <x:row r="42" ht="17">
      <x:c r="A42" s="3" t="s">
        <x:v>272</x:v>
      </x:c>
      <x:c r="B42" s="3" t="s">
        <x:v>272</x:v>
      </x:c>
      <x:c r="C42" s="3" t="s">
        <x:v>272</x:v>
      </x:c>
      <x:c r="D42" s="3" t="s">
        <x:v>331</x:v>
      </x:c>
      <x:c r="E42" s="3" t="s">
        <x:v>272</x:v>
      </x:c>
      <x:c r="F42" s="3" t="s">
        <x:v>286</x:v>
      </x:c>
    </x:row>
    <x:row r="43" ht="17">
      <x:c r="A43" s="3" t="s">
        <x:v>272</x:v>
      </x:c>
      <x:c r="B43" s="3" t="s">
        <x:v>272</x:v>
      </x:c>
      <x:c r="C43" s="3" t="s">
        <x:v>272</x:v>
      </x:c>
      <x:c r="D43" s="3" t="s">
        <x:v>332</x:v>
      </x:c>
      <x:c r="E43" s="3" t="s">
        <x:v>272</x:v>
      </x:c>
      <x:c r="F43" s="3" t="s">
        <x:v>286</x:v>
      </x:c>
    </x:row>
    <x:row r="44" ht="17">
      <x:c r="A44" s="3" t="s">
        <x:v>272</x:v>
      </x:c>
      <x:c r="B44" s="3" t="s">
        <x:v>272</x:v>
      </x:c>
      <x:c r="C44" s="3" t="s">
        <x:v>272</x:v>
      </x:c>
      <x:c r="D44" s="3" t="s">
        <x:v>333</x:v>
      </x:c>
      <x:c r="E44" s="3" t="s">
        <x:v>272</x:v>
      </x:c>
      <x:c r="F44" s="3" t="s">
        <x:v>296</x:v>
      </x:c>
    </x:row>
    <x:row r="45" ht="17">
      <x:c r="A45" s="3" t="s">
        <x:v>272</x:v>
      </x:c>
      <x:c r="B45" s="3" t="s">
        <x:v>272</x:v>
      </x:c>
      <x:c r="C45" s="3" t="s">
        <x:v>334</x:v>
      </x:c>
      <x:c r="D45" s="3" t="s">
        <x:v>335</x:v>
      </x:c>
      <x:c r="E45" s="3" t="s">
        <x:v>272</x:v>
      </x:c>
      <x:c r="F45" s="3" t="s">
        <x:v>296</x:v>
      </x:c>
    </x:row>
    <x:row r="46" ht="17">
      <x:c r="A46" s="3" t="s">
        <x:v>16</x:v>
      </x:c>
      <x:c r="B46" s="3" t="s">
        <x:v>336</x:v>
      </x:c>
      <x:c r="C46" s="3" t="s">
        <x:v>272</x:v>
      </x:c>
      <x:c r="D46" s="3" t="s">
        <x:v>272</x:v>
      </x:c>
      <x:c r="E46" s="3" t="s">
        <x:v>272</x:v>
      </x:c>
      <x:c r="F46" s="3" t="s">
        <x:v>272</x:v>
      </x:c>
    </x:row>
    <x:row r="47" ht="17">
      <x:c r="A47" s="3" t="s">
        <x:v>272</x:v>
      </x:c>
      <x:c r="B47" s="3" t="s">
        <x:v>337</x:v>
      </x:c>
      <x:c r="C47" s="3" t="s">
        <x:v>272</x:v>
      </x:c>
      <x:c r="D47" s="3" t="s">
        <x:v>272</x:v>
      </x:c>
      <x:c r="E47" s="3" t="s">
        <x:v>272</x:v>
      </x:c>
      <x:c r="F47" s="3" t="s">
        <x:v>272</x:v>
      </x:c>
    </x:row>
    <x:row r="48" ht="17">
      <x:c r="A48" s="3" t="s">
        <x:v>18</x:v>
      </x:c>
      <x:c r="B48" s="3" t="s">
        <x:v>338</x:v>
      </x:c>
      <x:c r="C48" s="3" t="s">
        <x:v>272</x:v>
      </x:c>
      <x:c r="D48" s="3" t="s">
        <x:v>272</x:v>
      </x:c>
      <x:c r="E48" s="3" t="s">
        <x:v>272</x:v>
      </x:c>
      <x:c r="F48" s="3" t="s">
        <x:v>272</x:v>
      </x:c>
    </x:row>
    <x:row r="49" ht="17">
      <x:c r="A49" s="3" t="s">
        <x:v>272</x:v>
      </x:c>
      <x:c r="B49" s="3" t="s">
        <x:v>339</x:v>
      </x:c>
      <x:c r="C49" s="3" t="s">
        <x:v>272</x:v>
      </x:c>
      <x:c r="D49" s="3" t="s">
        <x:v>272</x:v>
      </x:c>
      <x:c r="E49" s="3" t="s">
        <x:v>272</x:v>
      </x:c>
      <x:c r="F49" s="3" t="s">
        <x:v>272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9.75" hidden="0" customWidth="1"/>
    <x:col min="4" max="4" width="12.25" hidden="0" customWidth="1"/>
    <x:col min="5" max="5" width="10.630000114440918" hidden="0" customWidth="1"/>
    <x:col min="6" max="6" width="10.630000114440918" hidden="0" customWidth="1"/>
    <x:col min="7" max="7" width="15.130000114440918" hidden="0" customWidth="1"/>
    <x:col min="8" max="8" width="8.75" hidden="0" customWidth="1"/>
    <x:col min="9" max="9" width="10.630000114440918" hidden="0" customWidth="1"/>
    <x:col min="10" max="10" width="10.630000114440918" hidden="0" customWidth="1"/>
    <x:col min="11" max="11" width="9.25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>
      <x:c r="A1" s="56" t="str">
        <x:v>POI_ID</x:v>
      </x:c>
      <x:c r="B1" s="56" t="str">
        <x:v>POI名称</x:v>
      </x:c>
      <x:c r="C1" s="56" t="str">
        <x:v>原价格状态</x:v>
      </x:c>
      <x:c r="D1" s="56" t="str">
        <x:v>新价格状态</x:v>
      </x:c>
      <x:c r="E1" s="56" t="str">
        <x:v>原成本价_元</x:v>
      </x:c>
      <x:c r="F1" s="56" t="str">
        <x:v>新成本价_元</x:v>
      </x:c>
      <x:c r="G1" s="56" t="str">
        <x:v>原售价/原价格_元</x:v>
      </x:c>
      <x:c r="H1" s="56" t="str">
        <x:v>新售价_元</x:v>
      </x:c>
      <x:c r="I1" s="56" t="str">
        <x:v>成本下限_元</x:v>
      </x:c>
      <x:c r="J1" s="56" t="str">
        <x:v>成本上限_元</x:v>
      </x:c>
      <x:c r="K1" s="56" t="str">
        <x:v>计价单位</x:v>
      </x:c>
      <x:c r="L1" s="56" t="str">
        <x:v>更新后价格显示</x:v>
      </x:c>
      <x:c r="M1" s="56" t="str">
        <x:v>价格说明</x:v>
      </x:c>
      <x:c r="N1" s="56" t="str">
        <x:v>来源</x:v>
      </x:c>
      <x:c r="O1" s="56" t="str">
        <x:v>备注</x:v>
      </x:c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  <x:c r="AA1" s="42"/>
      <x:c r="AB1" s="42"/>
      <x:c r="AC1" s="42"/>
      <x:c r="AD1" s="42"/>
      <x:c r="AE1" s="42"/>
      <x:c r="AF1" s="42"/>
    </x:row>
    <x:row r="2">
      <x:c r="A2" t="str">
        <x:v>POI004</x:v>
      </x:c>
      <x:c r="B2" t="str">
        <x:v>邵逸夫B2</x:v>
      </x:c>
      <x:c r="C2" t="str">
        <x:v>待确认</x:v>
      </x:c>
      <x:c r="D2" t="str">
        <x:v>部分补充</x:v>
      </x:c>
      <x:c r="E2" s="40"/>
      <x:c r="F2" s="40" t="n">
        <x:v>12450</x:v>
      </x:c>
      <x:c r="G2" s="40"/>
      <x:c r="H2" s="40" t="n">
        <x:f>IF(ISBLANK(F2),"",ROUNDUP(F2*1.3,0))</x:f>
        <x:v>16185</x:v>
      </x:c>
      <x:c r="I2" s="40"/>
      <x:c r="J2" s="40"/>
      <x:c r="K2" t="str">
        <x:v>元/人/疗程</x:v>
      </x:c>
      <x:c r="L2" t="str">
        <x:v>成本12450/元/人/疗程；售价16185/元/人/疗程</x:v>
      </x:c>
      <x:c r="M2" t="str">
        <x:v>仅有点位与2日时长；需补医院专科项目报价</x:v>
      </x:c>
      <x:c r="N2" t="str">
        <x:v>源点位表</x:v>
      </x:c>
      <x:c r="O2" t="str">
        <x:v>仅有点位与2日时长；需补医院专科项目报价</x:v>
      </x:c>
    </x:row>
    <x:row r="3">
      <x:c r="A3" t="str">
        <x:v>POI008</x:v>
      </x:c>
      <x:c r="B3" t="str">
        <x:v>良渚古城遗址公园</x:v>
      </x:c>
      <x:c r="C3" t="str">
        <x:v>待确认</x:v>
      </x:c>
      <x:c r="D3" t="str">
        <x:v>已补充</x:v>
      </x:c>
      <x:c r="E3" s="40"/>
      <x:c r="F3" s="40" t="n">
        <x:v>60</x:v>
      </x:c>
      <x:c r="G3" s="40"/>
      <x:c r="H3" s="40" t="n">
        <x:f>IF(ISBLANK(F3),"",ROUNDUP(F3*1.3,0))</x:f>
        <x:v>78</x:v>
      </x:c>
      <x:c r="I3" s="40"/>
      <x:c r="J3" s="40"/>
      <x:c r="K3" t="str">
        <x:v>元/人</x:v>
      </x:c>
      <x:c r="L3" t="str">
        <x:v>成本60/元/人；售价78/元/人</x:v>
      </x:c>
      <x:c r="M3" t="str">
        <x:v>未在价格PDF中出现</x:v>
      </x:c>
      <x:c r="N3" t="str">
        <x:v>源点位表</x:v>
      </x:c>
      <x:c r="O3" t="str">
        <x:v>未在价格PDF中出现</x:v>
      </x:c>
    </x:row>
    <x:row r="4">
      <x:c r="A4" t="str">
        <x:v>POI011</x:v>
      </x:c>
      <x:c r="B4" t="str">
        <x:v>中国丝绸博物馆</x:v>
      </x:c>
      <x:c r="C4" t="str">
        <x:v>待确认</x:v>
      </x:c>
      <x:c r="D4" t="str">
        <x:v>免费</x:v>
      </x:c>
      <x:c r="E4" s="40"/>
      <x:c r="F4" s="40" t="n">
        <x:v>0</x:v>
      </x:c>
      <x:c r="G4" s="40"/>
      <x:c r="H4" s="40" t="n">
        <x:f>IF(ISBLANK(F4),"",ROUNDUP(F4*1.3,0))</x:f>
        <x:v>0</x:v>
      </x:c>
      <x:c r="I4" s="40"/>
      <x:c r="J4" s="40"/>
      <x:c r="K4" t="str">
        <x:v>元/人</x:v>
      </x:c>
      <x:c r="L4" t="str">
        <x:v>基础成本0/元/人；增值项目另计</x:v>
      </x:c>
      <x:c r="M4" t="str">
        <x:v>未在价格PDF中出现</x:v>
      </x:c>
      <x:c r="N4" t="str">
        <x:v>源点位表</x:v>
      </x:c>
      <x:c r="O4" t="str">
        <x:v>未在价格PDF中出现</x:v>
      </x:c>
    </x:row>
    <x:row r="5">
      <x:c r="A5" t="str">
        <x:v>POI014</x:v>
      </x:c>
      <x:c r="B5" t="str">
        <x:v>良渚博物院</x:v>
      </x:c>
      <x:c r="C5" t="str">
        <x:v>待确认</x:v>
      </x:c>
      <x:c r="D5" t="str">
        <x:v>免费</x:v>
      </x:c>
      <x:c r="E5" s="40"/>
      <x:c r="F5" s="40" t="n">
        <x:v>0</x:v>
      </x:c>
      <x:c r="G5" s="40"/>
      <x:c r="H5" s="40" t="n">
        <x:f>IF(ISBLANK(F5),"",ROUNDUP(F5*1.3,0))</x:f>
        <x:v>0</x:v>
      </x:c>
      <x:c r="I5" s="40"/>
      <x:c r="J5" s="40"/>
      <x:c r="K5" t="str">
        <x:v>元/人</x:v>
      </x:c>
      <x:c r="L5" t="str">
        <x:v>基础成本0/元/人；增值项目另计</x:v>
      </x:c>
      <x:c r="M5" t="str">
        <x:v>未在价格PDF中出现</x:v>
      </x:c>
      <x:c r="N5" t="str">
        <x:v>源点位表</x:v>
      </x:c>
      <x:c r="O5" t="str">
        <x:v>未在价格PDF中出现</x:v>
      </x:c>
    </x:row>
    <x:row r="6">
      <x:c r="A6" t="str">
        <x:v>POI015</x:v>
      </x:c>
      <x:c r="B6" t="str">
        <x:v>中国国家版本馆杭州分馆</x:v>
      </x:c>
      <x:c r="C6" t="str">
        <x:v>待确认</x:v>
      </x:c>
      <x:c r="D6" t="str">
        <x:v>免费</x:v>
      </x:c>
      <x:c r="E6" s="40"/>
      <x:c r="F6" s="40" t="n">
        <x:v>0</x:v>
      </x:c>
      <x:c r="G6" s="40"/>
      <x:c r="H6" s="40" t="n">
        <x:f>IF(ISBLANK(F6),"",ROUNDUP(F6*1.3,0))</x:f>
        <x:v>0</x:v>
      </x:c>
      <x:c r="I6" s="40"/>
      <x:c r="J6" s="40"/>
      <x:c r="K6" t="str">
        <x:v>元/人</x:v>
      </x:c>
      <x:c r="L6" t="str">
        <x:v>基础成本0/元/人；增值项目另计</x:v>
      </x:c>
      <x:c r="M6" t="str">
        <x:v>未在价格PDF中出现</x:v>
      </x:c>
      <x:c r="N6" t="str">
        <x:v>源点位表</x:v>
      </x:c>
      <x:c r="O6" t="str">
        <x:v>未在价格PDF中出现</x:v>
      </x:c>
    </x:row>
    <x:row r="7">
      <x:c r="A7" t="str">
        <x:v>POI023</x:v>
      </x:c>
      <x:c r="B7" t="str">
        <x:v>径山茶宴与宋代点茶体验</x:v>
      </x:c>
      <x:c r="C7" t="str">
        <x:v>部分补充</x:v>
      </x:c>
      <x:c r="D7" t="str">
        <x:v>部分补充</x:v>
      </x:c>
      <x:c r="E7" s="40"/>
      <x:c r="F7" s="40" t="n">
        <x:v>188</x:v>
      </x:c>
      <x:c r="G7" s="40" t="n">
        <x:v>98</x:v>
      </x:c>
      <x:c r="H7" s="40" t="n">
        <x:f>IF(ISBLANK(F7),"",ROUNDUP(F7*1.3,0))</x:f>
        <x:v>245</x:v>
      </x:c>
      <x:c r="I7" s="40" t="n">
        <x:v>0</x:v>
      </x:c>
      <x:c r="J7" s="40" t="n">
        <x:v>98</x:v>
      </x:c>
      <x:c r="K7" t="str">
        <x:v>元/人</x:v>
      </x:c>
      <x:c r="L7" t="str">
        <x:v>径山茶礼官方免费；宋代点茶98/位；茶果待定；默认售价245/元/人（成本×1.3）</x:v>
      </x:c>
      <x:c r="M7" t="str">
        <x:v>径山茶礼需预约，预约上免费</x:v>
      </x:c>
      <x:c r="N7" t="str">
        <x:v>康养文旅 p6-p7</x:v>
      </x:c>
      <x:c r="O7" t="str">
        <x:v>径山茶礼需预约，预约上免费</x:v>
      </x:c>
    </x:row>
    <x:row r="8">
      <x:c r="A8" t="str">
        <x:v>POI025</x:v>
      </x:c>
      <x:c r="B8" t="str">
        <x:v>制作茶果子</x:v>
      </x:c>
      <x:c r="C8" t="str">
        <x:v>部分补充</x:v>
      </x:c>
      <x:c r="D8" t="str">
        <x:v>部分补充</x:v>
      </x:c>
      <x:c r="E8" s="40"/>
      <x:c r="F8" s="40" t="n">
        <x:v>60</x:v>
      </x:c>
      <x:c r="G8" s="40" t="n">
        <x:v>59</x:v>
      </x:c>
      <x:c r="H8" s="40" t="n">
        <x:f>IF(ISBLANK(F8),"",ROUNDUP(F8*1.3,0))</x:f>
        <x:v>78</x:v>
      </x:c>
      <x:c r="I8" s="40" t="n">
        <x:v>59</x:v>
      </x:c>
      <x:c r="J8" s="40" t="n">
        <x:v>59</x:v>
      </x:c>
      <x:c r="K8" t="str">
        <x:v>元/人</x:v>
      </x:c>
      <x:c r="L8" t="str">
        <x:v>茶果制作待定；抄经59/位；默认售价78/元/人（成本×1.3）</x:v>
      </x:c>
      <x:c r="M8" t="str">
        <x:v>茶果子需补价</x:v>
      </x:c>
      <x:c r="N8" t="str">
        <x:v>康养文旅 p7</x:v>
      </x:c>
      <x:c r="O8" t="str">
        <x:v>茶果子需补价</x:v>
      </x:c>
    </x:row>
    <x:row r="9">
      <x:c r="A9" t="str">
        <x:v>POI026</x:v>
      </x:c>
      <x:c r="B9" t="str">
        <x:v>良渚遗址公园作坊区｜手作体验</x:v>
      </x:c>
      <x:c r="C9" t="str">
        <x:v>待确认</x:v>
      </x:c>
      <x:c r="D9" t="str">
        <x:v>区间价/多规格</x:v>
      </x:c>
      <x:c r="E9" s="40"/>
      <x:c r="F9" s="40" t="n">
        <x:v>100</x:v>
      </x:c>
      <x:c r="G9" s="40"/>
      <x:c r="H9" s="40" t="n">
        <x:f>IF(ISBLANK(F9),"",ROUNDUP(F9*1.3,0))</x:f>
        <x:v>130</x:v>
      </x:c>
      <x:c r="I9" s="40" t="n">
        <x:v>30</x:v>
      </x:c>
      <x:c r="J9" s="40" t="n">
        <x:v>100</x:v>
      </x:c>
      <x:c r="K9" t="str">
        <x:v>元/人</x:v>
      </x:c>
      <x:c r="L9" t="str">
        <x:v>成本区间30-100/元/人；默认成本100/元/人；默认售价130/元/人</x:v>
      </x:c>
      <x:c r="M9" t="str">
        <x:v>未在价格PDF中出现</x:v>
      </x:c>
      <x:c r="N9" t="str">
        <x:v>源点位表</x:v>
      </x:c>
      <x:c r="O9" t="str">
        <x:v>未在价格PDF中出现</x:v>
      </x:c>
    </x:row>
    <x:row r="10">
      <x:c r="A10" t="str">
        <x:v>POI027</x:v>
      </x:c>
      <x:c r="B10" t="str">
        <x:v>阿里巴巴西溪园区参访</x:v>
      </x:c>
      <x:c r="C10" t="str">
        <x:v>待确认</x:v>
      </x:c>
      <x:c r="D10" t="str">
        <x:v>已补充</x:v>
      </x:c>
      <x:c r="E10" s="40"/>
      <x:c r="F10" s="40" t="n">
        <x:v>1500</x:v>
      </x:c>
      <x:c r="G10" s="40"/>
      <x:c r="H10" s="40" t="n">
        <x:f>IF(ISBLANK(F10),"",ROUNDUP(F10*1.3,0))</x:f>
        <x:v>1950</x:v>
      </x:c>
      <x:c r="I10" s="40"/>
      <x:c r="J10" s="40"/>
      <x:c r="K10" t="str">
        <x:v>元/人</x:v>
      </x:c>
      <x:c r="L10" t="str">
        <x:v>成本1500/元/人；售价1950/元/人</x:v>
      </x:c>
      <x:c r="M10" t="str">
        <x:v>企业参访通常涉及预约与接待标准</x:v>
      </x:c>
      <x:c r="N10" t="str">
        <x:v>源点位表</x:v>
      </x:c>
      <x:c r="O10" t="str">
        <x:v>企业参访通常涉及预约与接待标准</x:v>
      </x:c>
    </x:row>
    <x:row r="11">
      <x:c r="A11" t="str">
        <x:v>POI028</x:v>
      </x:c>
      <x:c r="B11" t="str">
        <x:v>吉利汽车总部体验馆</x:v>
      </x:c>
      <x:c r="C11" t="str">
        <x:v>待确认</x:v>
      </x:c>
      <x:c r="D11" t="str">
        <x:v>已补充</x:v>
      </x:c>
      <x:c r="E11" s="40"/>
      <x:c r="F11" s="40" t="n">
        <x:v>1500</x:v>
      </x:c>
      <x:c r="G11" s="40"/>
      <x:c r="H11" s="40" t="n">
        <x:f>IF(ISBLANK(F11),"",ROUNDUP(F11*1.3,0))</x:f>
        <x:v>1950</x:v>
      </x:c>
      <x:c r="I11" s="40"/>
      <x:c r="J11" s="40"/>
      <x:c r="K11" t="str">
        <x:v>元/人</x:v>
      </x:c>
      <x:c r="L11" t="str">
        <x:v>成本1500/元/人；售价1950/元/人</x:v>
      </x:c>
      <x:c r="M11" t="str">
        <x:v>企业参访通常涉及预约与接待标准</x:v>
      </x:c>
      <x:c r="N11" t="str">
        <x:v>源点位表</x:v>
      </x:c>
      <x:c r="O11" t="str">
        <x:v>企业参访通常涉及预约与接待标准</x:v>
      </x:c>
    </x:row>
    <x:row r="12">
      <x:c r="A12" t="str">
        <x:v>POI029</x:v>
      </x:c>
      <x:c r="B12" t="str">
        <x:v>宇树科技机器人展示</x:v>
      </x:c>
      <x:c r="C12" t="str">
        <x:v>待确认</x:v>
      </x:c>
      <x:c r="D12" t="str">
        <x:v>已补充</x:v>
      </x:c>
      <x:c r="E12" s="40"/>
      <x:c r="F12" s="40" t="n">
        <x:v>1500</x:v>
      </x:c>
      <x:c r="G12" s="40"/>
      <x:c r="H12" s="40" t="n">
        <x:f>IF(ISBLANK(F12),"",ROUNDUP(F12*1.3,0))</x:f>
        <x:v>1950</x:v>
      </x:c>
      <x:c r="I12" s="40"/>
      <x:c r="J12" s="40"/>
      <x:c r="K12" t="str">
        <x:v>元/人</x:v>
      </x:c>
      <x:c r="L12" t="str">
        <x:v>成本1500/元/人；售价1950/元/人</x:v>
      </x:c>
      <x:c r="M12" t="str">
        <x:v>企业参访通常涉及预约与接待标准</x:v>
      </x:c>
      <x:c r="N12" t="str">
        <x:v>源点位表</x:v>
      </x:c>
      <x:c r="O12" t="str">
        <x:v>企业参访通常涉及预约与接待标准</x:v>
      </x:c>
    </x:row>
    <x:row r="13">
      <x:c r="A13" t="str">
        <x:v>POI030</x:v>
      </x:c>
      <x:c r="B13" t="str">
        <x:v>海康威视展示中心参观</x:v>
      </x:c>
      <x:c r="C13" t="str">
        <x:v>待确认</x:v>
      </x:c>
      <x:c r="D13" t="str">
        <x:v>已补充</x:v>
      </x:c>
      <x:c r="E13" s="40"/>
      <x:c r="F13" s="40" t="n">
        <x:v>1500</x:v>
      </x:c>
      <x:c r="G13" s="40"/>
      <x:c r="H13" s="40" t="n">
        <x:f>IF(ISBLANK(F13),"",ROUNDUP(F13*1.3,0))</x:f>
        <x:v>1950</x:v>
      </x:c>
      <x:c r="I13" s="40"/>
      <x:c r="J13" s="40"/>
      <x:c r="K13" t="str">
        <x:v>元/人</x:v>
      </x:c>
      <x:c r="L13" t="str">
        <x:v>成本1500/元/人；售价1950/元/人</x:v>
      </x:c>
      <x:c r="M13" t="str">
        <x:v>企业参访通常涉及预约与接待标准</x:v>
      </x:c>
      <x:c r="N13" t="str">
        <x:v>源点位表</x:v>
      </x:c>
      <x:c r="O13" t="str">
        <x:v>企业参访通常涉及预约与接待标准</x:v>
      </x:c>
    </x:row>
    <x:row r="14">
      <x:c r="A14" t="str">
        <x:v>POI031</x:v>
      </x:c>
      <x:c r="B14" t="str">
        <x:v>文三数字生活街区漫游</x:v>
      </x:c>
      <x:c r="C14" t="str">
        <x:v>待确认</x:v>
      </x:c>
      <x:c r="D14" t="str">
        <x:v>区间价/多规格</x:v>
      </x:c>
      <x:c r="E14" s="40"/>
      <x:c r="F14" s="40" t="n">
        <x:v>300</x:v>
      </x:c>
      <x:c r="G14" s="40"/>
      <x:c r="H14" s="40" t="n">
        <x:f>IF(ISBLANK(F14),"",ROUNDUP(F14*1.3,0))</x:f>
        <x:v>390</x:v>
      </x:c>
      <x:c r="I14" s="40" t="n">
        <x:v>0</x:v>
      </x:c>
      <x:c r="J14" s="40" t="n">
        <x:v>300</x:v>
      </x:c>
      <x:c r="K14" t="str">
        <x:v>元/人</x:v>
      </x:c>
      <x:c r="L14" t="str">
        <x:v>成本区间0-300/元/人；默认成本300/元/人；默认售价390/元/人</x:v>
      </x:c>
      <x:c r="M14" t="str">
        <x:v>未在价格PDF中出现</x:v>
      </x:c>
      <x:c r="N14" t="str">
        <x:v>源点位表</x:v>
      </x:c>
      <x:c r="O14" t="str">
        <x:v>未在价格PDF中出现</x:v>
      </x:c>
    </x:row>
    <x:row r="15">
      <x:c r="A15" t="str">
        <x:v>POI032</x:v>
      </x:c>
      <x:c r="B15" t="str">
        <x:v>M511光影汇沉浸体验</x:v>
      </x:c>
      <x:c r="C15" t="str">
        <x:v>待确认</x:v>
      </x:c>
      <x:c r="D15" t="str">
        <x:v>区间价/多规格</x:v>
      </x:c>
      <x:c r="E15" s="40"/>
      <x:c r="F15" s="40" t="n">
        <x:v>198</x:v>
      </x:c>
      <x:c r="G15" s="40"/>
      <x:c r="H15" s="40" t="n">
        <x:f>IF(ISBLANK(F15),"",ROUNDUP(F15*1.3,0))</x:f>
        <x:v>258</x:v>
      </x:c>
      <x:c r="I15" s="40" t="n">
        <x:v>138</x:v>
      </x:c>
      <x:c r="J15" s="40" t="n">
        <x:v>400</x:v>
      </x:c>
      <x:c r="K15" t="str">
        <x:v>元/人</x:v>
      </x:c>
      <x:c r="L15" t="str">
        <x:v>成本区间138-400/元/人；默认成本198/元/人；默认售价258/元/人</x:v>
      </x:c>
      <x:c r="M15" t="str">
        <x:v>未在价格PDF中出现</x:v>
      </x:c>
      <x:c r="N15" t="str">
        <x:v>源点位表</x:v>
      </x:c>
      <x:c r="O15" t="str">
        <x:v>未在价格PDF中出现</x:v>
      </x:c>
    </x:row>
    <x:row r="16">
      <x:c r="A16" t="str">
        <x:v>POI033</x:v>
      </x:c>
      <x:c r="B16" t="str">
        <x:v>颐高数字科技展</x:v>
      </x:c>
      <x:c r="C16" t="str">
        <x:v>待确认</x:v>
      </x:c>
      <x:c r="D16" t="str">
        <x:v>已补充</x:v>
      </x:c>
      <x:c r="E16" s="40"/>
      <x:c r="F16" s="40" t="n">
        <x:v>168</x:v>
      </x:c>
      <x:c r="G16" s="40"/>
      <x:c r="H16" s="40" t="n">
        <x:f>IF(ISBLANK(F16),"",ROUNDUP(F16*1.3,0))</x:f>
        <x:v>219</x:v>
      </x:c>
      <x:c r="I16" s="40"/>
      <x:c r="J16" s="40"/>
      <x:c r="K16" t="str">
        <x:v>元/人</x:v>
      </x:c>
      <x:c r="L16" t="str">
        <x:v>成本168/元/人；售价219/元/人</x:v>
      </x:c>
      <x:c r="M16" t="str">
        <x:v>未在价格PDF中出现</x:v>
      </x:c>
      <x:c r="N16" t="str">
        <x:v>源点位表</x:v>
      </x:c>
      <x:c r="O16" t="str">
        <x:v>未在价格PDF中出现</x:v>
      </x:c>
    </x:row>
    <x:row r="17">
      <x:c r="A17" t="str">
        <x:v>POI034</x:v>
      </x:c>
      <x:c r="B17" t="str">
        <x:v>钱江新城灯光秀夜游</x:v>
      </x:c>
      <x:c r="C17" t="str">
        <x:v>待确认</x:v>
      </x:c>
      <x:c r="D17" t="str">
        <x:v>部分补充</x:v>
      </x:c>
      <x:c r="E17" s="40" t="n">
        <x:v>0</x:v>
      </x:c>
      <x:c r="F17" s="40" t="n">
        <x:v>0</x:v>
      </x:c>
      <x:c r="G17" s="40" t="n">
        <x:v>0</x:v>
      </x:c>
      <x:c r="H17" s="40" t="n">
        <x:f>IF(ISBLANK(F17),"",ROUNDUP(F17*1.3,0))</x:f>
        <x:v>0</x:v>
      </x:c>
      <x:c r="I17" s="40" t="n">
        <x:v>0</x:v>
      </x:c>
      <x:c r="J17" s="40"/>
      <x:c r="K17" t="str">
        <x:v>元/人</x:v>
      </x:c>
      <x:c r="L17" t="str">
        <x:v>基础成本0/元/人；增值项目另计</x:v>
      </x:c>
      <x:c r="M17" t="str">
        <x:v>灯光秀本身可免费观赏；若含游船需补价</x:v>
      </x:c>
      <x:c r="N17" t="str">
        <x:v>源点位表</x:v>
      </x:c>
      <x:c r="O17" t="str">
        <x:v>灯光秀本身可免费观赏；若含游船需补价</x:v>
      </x:c>
    </x:row>
    <x:row r="18">
      <x:c r="A18" t="str">
        <x:v>POI038</x:v>
      </x:c>
      <x:c r="B18" t="str">
        <x:v>德寿宫《德寿夜宴》</x:v>
      </x:c>
      <x:c r="C18" t="str">
        <x:v>部分补充</x:v>
      </x:c>
      <x:c r="D18" t="str">
        <x:v>部分补充</x:v>
      </x:c>
      <x:c r="E18" s="40"/>
      <x:c r="F18" s="40" t="n">
        <x:v>198</x:v>
      </x:c>
      <x:c r="G18" s="40" t="n">
        <x:v>598</x:v>
      </x:c>
      <x:c r="H18" s="40" t="n">
        <x:f>IF(ISBLANK(F18),"",ROUNDUP(F18*1.3,0))</x:f>
        <x:v>258</x:v>
      </x:c>
      <x:c r="I18" s="40" t="n">
        <x:v>88</x:v>
      </x:c>
      <x:c r="J18" s="40" t="n">
        <x:v>198</x:v>
      </x:c>
      <x:c r="K18" t="str">
        <x:v>元/人</x:v>
      </x:c>
      <x:c r="L18" t="str">
        <x:v>参考宫宴晚餐+演出598；需确认德寿夜宴单独票价；默认售价258/元/人（成本×1.3）</x:v>
      </x:c>
      <x:c r="M18" t="str">
        <x:v>价格PDF未直接出现德寿夜宴，先挂靠宋韵宫宴</x:v>
      </x:c>
      <x:c r="N18" t="str">
        <x:v>康养文旅 p12</x:v>
      </x:c>
      <x:c r="O18" t="str">
        <x:v>价格PDF未直接出现德寿夜宴，先挂靠宋韵宫宴</x:v>
      </x:c>
    </x:row>
    <x:row r="19">
      <x:c r="A19" t="str">
        <x:v>POI039</x:v>
      </x:c>
      <x:c r="B19" t="str">
        <x:v>豫园、城隍庙、上海老街</x:v>
      </x:c>
      <x:c r="C19" t="str">
        <x:v>待确认</x:v>
      </x:c>
      <x:c r="D19" t="str">
        <x:v>部分补充</x:v>
      </x:c>
      <x:c r="E19" s="40"/>
      <x:c r="F19" s="40" t="n">
        <x:v>0</x:v>
      </x:c>
      <x:c r="G19" s="40"/>
      <x:c r="H19" s="40" t="n">
        <x:f>IF(ISBLANK(F19),"",ROUNDUP(F19*1.3,0))</x:f>
        <x:v>0</x:v>
      </x:c>
      <x:c r="I19" s="40" t="n">
        <x:v>0</x:v>
      </x:c>
      <x:c r="J19" s="40"/>
      <x:c r="K19" t="str">
        <x:v>元/人</x:v>
      </x:c>
      <x:c r="L19" t="str">
        <x:v>基础成本0/元/人；增值项目另计</x:v>
      </x:c>
      <x:c r="M19" t="str">
        <x:v>杭州外点位需补上海本地门票/交通</x:v>
      </x:c>
      <x:c r="N19" t="str">
        <x:v>源点位表</x:v>
      </x:c>
      <x:c r="O19" t="str">
        <x:v>杭州外点位需补上海本地门票/交通</x:v>
      </x:c>
    </x:row>
    <x:row r="20">
      <x:c r="A20" t="str">
        <x:v>POI040</x:v>
      </x:c>
      <x:c r="B20" t="str">
        <x:v>浦东陆家嘴城市景观</x:v>
      </x:c>
      <x:c r="C20" t="str">
        <x:v>待确认</x:v>
      </x:c>
      <x:c r="D20" t="str">
        <x:v>部分补充</x:v>
      </x:c>
      <x:c r="E20" s="40"/>
      <x:c r="F20" s="40" t="n">
        <x:v>0</x:v>
      </x:c>
      <x:c r="G20" s="40"/>
      <x:c r="H20" s="40" t="n">
        <x:f>IF(ISBLANK(F20),"",ROUNDUP(F20*1.3,0))</x:f>
        <x:v>0</x:v>
      </x:c>
      <x:c r="I20" s="40" t="n">
        <x:v>0</x:v>
      </x:c>
      <x:c r="J20" s="40"/>
      <x:c r="K20" t="str">
        <x:v>元/人</x:v>
      </x:c>
      <x:c r="L20" t="str">
        <x:v>基础成本0/元/人；增值项目另计</x:v>
      </x:c>
      <x:c r="M20" t="str">
        <x:v>杭州外点位需补上海本地门票/交通</x:v>
      </x:c>
      <x:c r="N20" t="str">
        <x:v>源点位表</x:v>
      </x:c>
      <x:c r="O20" t="str">
        <x:v>杭州外点位需补上海本地门票/交通</x:v>
      </x:c>
    </x:row>
    <x:row r="21">
      <x:c r="A21" t="str">
        <x:v>POI041</x:v>
      </x:c>
      <x:c r="B21" t="str">
        <x:v>外滩夜景 / 黄浦江游船（二选一）</x:v>
      </x:c>
      <x:c r="C21" t="str">
        <x:v>待确认</x:v>
      </x:c>
      <x:c r="D21" t="str">
        <x:v>部分补充</x:v>
      </x:c>
      <x:c r="E21" s="40"/>
      <x:c r="F21" s="40" t="n">
        <x:v>0</x:v>
      </x:c>
      <x:c r="G21" s="40"/>
      <x:c r="H21" s="40" t="n">
        <x:f>IF(ISBLANK(F21),"",ROUNDUP(F21*1.3,0))</x:f>
        <x:v>0</x:v>
      </x:c>
      <x:c r="I21" s="40" t="n">
        <x:v>0</x:v>
      </x:c>
      <x:c r="J21" s="40"/>
      <x:c r="K21" t="str">
        <x:v>元/人</x:v>
      </x:c>
      <x:c r="L21" t="str">
        <x:v>基础成本0/元/人；增值项目另计</x:v>
      </x:c>
      <x:c r="M21" t="str">
        <x:v>黄浦江游船需补价</x:v>
      </x:c>
      <x:c r="N21" t="str">
        <x:v>源点位表</x:v>
      </x:c>
      <x:c r="O21" t="str">
        <x:v>黄浦江游船需补价</x:v>
      </x:c>
    </x:row>
    <x:row r="22">
      <x:c r="A22" t="str">
        <x:v>POI042</x:v>
      </x:c>
      <x:c r="B22" t="str">
        <x:v>上海博物馆东馆</x:v>
      </x:c>
      <x:c r="C22" t="str">
        <x:v>待确认</x:v>
      </x:c>
      <x:c r="D22" t="str">
        <x:v>部分补充</x:v>
      </x:c>
      <x:c r="E22" s="40"/>
      <x:c r="F22" s="40" t="n">
        <x:v>0</x:v>
      </x:c>
      <x:c r="G22" s="40"/>
      <x:c r="H22" s="40" t="n">
        <x:f>IF(ISBLANK(F22),"",ROUNDUP(F22*1.3,0))</x:f>
        <x:v>0</x:v>
      </x:c>
      <x:c r="I22" s="40" t="n">
        <x:v>0</x:v>
      </x:c>
      <x:c r="J22" s="40"/>
      <x:c r="K22" t="str">
        <x:v>元/人</x:v>
      </x:c>
      <x:c r="L22" t="str">
        <x:v>基础成本0/元/人；增值项目另计</x:v>
      </x:c>
      <x:c r="M22" t="str">
        <x:v>杭州外点位需补预约/讲解费用</x:v>
      </x:c>
      <x:c r="N22" t="str">
        <x:v>源点位表</x:v>
      </x:c>
      <x:c r="O22" t="str">
        <x:v>杭州外点位需补预约/讲解费用</x:v>
      </x:c>
    </x:row>
    <x:row r="23">
      <x:c r="A23" t="str">
        <x:v>POI043</x:v>
      </x:c>
      <x:c r="B23" t="str">
        <x:v>义乌国际商贸城一区/五区自由购物</x:v>
      </x:c>
      <x:c r="C23" t="str">
        <x:v>待确认</x:v>
      </x:c>
      <x:c r="D23" t="str">
        <x:v>部分补充</x:v>
      </x:c>
      <x:c r="E23" s="40"/>
      <x:c r="F23" s="40" t="n">
        <x:v>0</x:v>
      </x:c>
      <x:c r="G23" s="40"/>
      <x:c r="H23" s="40" t="n">
        <x:f>IF(ISBLANK(F23),"",ROUNDUP(F23*1.3,0))</x:f>
        <x:v>0</x:v>
      </x:c>
      <x:c r="I23" s="40" t="n">
        <x:v>0</x:v>
      </x:c>
      <x:c r="J23" s="40"/>
      <x:c r="K23" t="str">
        <x:v>元/人</x:v>
      </x:c>
      <x:c r="L23" t="str">
        <x:v>基础成本0/元/人；增值项目另计</x:v>
      </x:c>
      <x:c r="M23" t="str">
        <x:v>需补杭州-义乌交通与导览费用</x:v>
      </x:c>
      <x:c r="N23" t="str">
        <x:v>源点位表</x:v>
      </x:c>
      <x:c r="O23" t="str">
        <x:v>需补杭州-义乌交通与导览费用</x:v>
      </x:c>
    </x:row>
    <x:row r="24">
      <x:c r="A24"/>
      <x:c r="B24"/>
      <x:c r="C24"/>
      <x:c r="D24"/>
      <x:c r="E24" s="40"/>
      <x:c r="F24" s="40"/>
      <x:c r="G24" s="40"/>
      <x:c r="H24" s="40"/>
      <x:c r="I24" s="40"/>
      <x:c r="J24" s="40"/>
      <x:c r="K24"/>
      <x:c r="L24"/>
      <x:c r="M24"/>
      <x:c r="N24"/>
      <x:c r="O24"/>
    </x:row>
    <x:row r="25">
      <x:c r="A25"/>
      <x:c r="B25"/>
      <x:c r="C25"/>
      <x:c r="D25"/>
      <x:c r="E25" s="40"/>
      <x:c r="F25" s="40"/>
      <x:c r="G25" s="40"/>
      <x:c r="H25" s="40"/>
      <x:c r="I25" s="40"/>
      <x:c r="J25" s="40"/>
      <x:c r="K25"/>
      <x:c r="L25"/>
      <x:c r="M25"/>
      <x:c r="N25"/>
      <x:c r="O25"/>
    </x:row>
    <x:row r="26">
      <x:c r="A26"/>
      <x:c r="B26"/>
      <x:c r="C26"/>
      <x:c r="D26"/>
      <x:c r="E26" s="40"/>
      <x:c r="F26" s="40"/>
      <x:c r="G26" s="40"/>
      <x:c r="H26" s="40"/>
      <x:c r="I26" s="40"/>
      <x:c r="J26" s="40"/>
      <x:c r="K26"/>
      <x:c r="L26"/>
      <x:c r="M26"/>
      <x:c r="N26"/>
      <x:c r="O26"/>
    </x:row>
    <x:row r="27">
      <x:c r="A27"/>
      <x:c r="B27"/>
      <x:c r="C27"/>
      <x:c r="D27"/>
      <x:c r="E27" s="40"/>
      <x:c r="F27" s="40"/>
      <x:c r="G27" s="40"/>
      <x:c r="H27" s="40"/>
      <x:c r="I27" s="40"/>
      <x:c r="J27" s="40"/>
      <x:c r="K27"/>
      <x:c r="L27"/>
      <x:c r="M27"/>
      <x:c r="N27"/>
      <x:c r="O27"/>
    </x:row>
    <x:row r="28">
      <x:c r="A28"/>
      <x:c r="B28"/>
      <x:c r="C28"/>
      <x:c r="D28"/>
      <x:c r="E28" s="40"/>
      <x:c r="F28" s="40"/>
      <x:c r="G28" s="40"/>
      <x:c r="H28" s="40"/>
      <x:c r="I28" s="40"/>
      <x:c r="J28" s="40"/>
      <x:c r="K28"/>
      <x:c r="L28"/>
      <x:c r="M28"/>
      <x:c r="N28"/>
      <x:c r="O28"/>
    </x:row>
    <x:row r="29">
      <x:c r="A29"/>
      <x:c r="B29"/>
      <x:c r="C29"/>
      <x:c r="D29"/>
      <x:c r="E29" s="40"/>
      <x:c r="F29" s="40"/>
      <x:c r="G29" s="40"/>
      <x:c r="H29" s="40"/>
      <x:c r="I29" s="40"/>
      <x:c r="J29" s="40"/>
      <x:c r="K29"/>
      <x:c r="L29"/>
      <x:c r="M29"/>
      <x:c r="N29"/>
      <x:c r="O29"/>
    </x:row>
    <x:row r="30">
      <x:c r="A30"/>
      <x:c r="B30"/>
      <x:c r="C30"/>
      <x:c r="D30"/>
      <x:c r="E30" s="40"/>
      <x:c r="F30" s="40"/>
      <x:c r="G30" s="40"/>
      <x:c r="H30" s="40"/>
      <x:c r="I30" s="40"/>
      <x:c r="J30" s="40"/>
      <x:c r="K30"/>
      <x:c r="L30"/>
      <x:c r="M30"/>
      <x:c r="N30"/>
      <x:c r="O30"/>
    </x:row>
    <x:row r="31">
      <x:c r="A31"/>
      <x:c r="B31"/>
      <x:c r="C31"/>
      <x:c r="D31"/>
      <x:c r="E31" s="40"/>
      <x:c r="F31" s="40"/>
      <x:c r="G31" s="40"/>
      <x:c r="H31" s="40"/>
      <x:c r="I31" s="40"/>
      <x:c r="J31" s="40"/>
      <x:c r="K31"/>
      <x:c r="L31"/>
      <x:c r="M31"/>
      <x:c r="N31"/>
      <x:c r="O31"/>
    </x:row>
    <x:row r="32">
      <x:c r="A32"/>
      <x:c r="B32"/>
      <x:c r="C32"/>
      <x:c r="D32"/>
      <x:c r="E32" s="40"/>
      <x:c r="F32" s="40"/>
      <x:c r="G32" s="40"/>
      <x:c r="H32" s="40"/>
      <x:c r="I32" s="40"/>
      <x:c r="J32" s="40"/>
      <x:c r="K32"/>
      <x:c r="L32"/>
      <x:c r="M32"/>
      <x:c r="N32"/>
      <x:c r="O32"/>
    </x:row>
    <x:row r="33">
      <x:c r="A33"/>
      <x:c r="B33"/>
      <x:c r="C33"/>
      <x:c r="D33"/>
      <x:c r="E33" s="40"/>
      <x:c r="F33" s="40"/>
      <x:c r="G33" s="40"/>
      <x:c r="H33" s="40"/>
      <x:c r="I33" s="40"/>
      <x:c r="J33" s="40"/>
      <x:c r="K33"/>
      <x:c r="L33"/>
      <x:c r="M33"/>
      <x:c r="N33"/>
      <x:c r="O33"/>
    </x:row>
    <x:row r="34">
      <x:c r="A34"/>
      <x:c r="B34"/>
      <x:c r="C34"/>
      <x:c r="D34"/>
      <x:c r="E34" s="40"/>
      <x:c r="F34" s="40"/>
      <x:c r="G34" s="40"/>
      <x:c r="H34" s="40"/>
      <x:c r="I34" s="40"/>
      <x:c r="J34" s="40"/>
      <x:c r="K34"/>
      <x:c r="L34"/>
      <x:c r="M34"/>
      <x:c r="N34"/>
      <x:c r="O34"/>
    </x:row>
    <x:row r="35">
      <x:c r="A35"/>
      <x:c r="B35"/>
      <x:c r="C35"/>
      <x:c r="D35"/>
      <x:c r="E35" s="40"/>
      <x:c r="F35" s="40"/>
      <x:c r="G35" s="40"/>
      <x:c r="H35" s="40"/>
      <x:c r="I35" s="40"/>
      <x:c r="J35" s="40"/>
      <x:c r="K35"/>
      <x:c r="L35"/>
      <x:c r="M35"/>
      <x:c r="N35"/>
      <x:c r="O35"/>
    </x:row>
    <x:row r="36">
      <x:c r="A36"/>
      <x:c r="B36"/>
      <x:c r="C36"/>
      <x:c r="D36"/>
      <x:c r="E36" s="40"/>
      <x:c r="F36" s="40"/>
      <x:c r="G36" s="40"/>
      <x:c r="H36" s="40"/>
      <x:c r="I36" s="40"/>
      <x:c r="J36" s="40"/>
      <x:c r="K36"/>
      <x:c r="L36"/>
      <x:c r="M36"/>
      <x:c r="N36"/>
      <x:c r="O36"/>
    </x:row>
    <x:row r="37">
      <x:c r="A37"/>
      <x:c r="B37"/>
      <x:c r="C37"/>
      <x:c r="D37"/>
      <x:c r="E37" s="40"/>
      <x:c r="F37" s="40"/>
      <x:c r="G37" s="40"/>
      <x:c r="H37" s="40"/>
      <x:c r="I37" s="40"/>
      <x:c r="J37" s="40"/>
      <x:c r="K37"/>
      <x:c r="L37"/>
      <x:c r="M37"/>
      <x:c r="N37"/>
      <x:c r="O37"/>
    </x:row>
    <x:row r="38">
      <x:c r="A38"/>
      <x:c r="B38"/>
      <x:c r="C38"/>
      <x:c r="D38"/>
      <x:c r="E38" s="40"/>
      <x:c r="F38" s="40"/>
      <x:c r="G38" s="40"/>
      <x:c r="H38" s="40"/>
      <x:c r="I38" s="40"/>
      <x:c r="J38" s="40"/>
      <x:c r="K38"/>
      <x:c r="L38"/>
      <x:c r="M38"/>
      <x:c r="N38"/>
      <x:c r="O38"/>
    </x:row>
    <x:row r="39">
      <x:c r="A39"/>
      <x:c r="B39"/>
      <x:c r="C39"/>
      <x:c r="D39"/>
      <x:c r="E39" s="40"/>
      <x:c r="F39" s="40"/>
      <x:c r="G39" s="40"/>
      <x:c r="H39" s="40"/>
      <x:c r="I39" s="40"/>
      <x:c r="J39" s="40"/>
      <x:c r="K39"/>
      <x:c r="L39"/>
      <x:c r="M39"/>
      <x:c r="N39"/>
      <x:c r="O39"/>
    </x:row>
    <x:row r="40">
      <x:c r="A40"/>
      <x:c r="B40"/>
      <x:c r="C40"/>
      <x:c r="D40"/>
      <x:c r="E40" s="40"/>
      <x:c r="F40" s="40"/>
      <x:c r="G40" s="40"/>
      <x:c r="H40" s="40"/>
      <x:c r="I40" s="40"/>
      <x:c r="J40" s="40"/>
      <x:c r="K40"/>
      <x:c r="L40"/>
      <x:c r="M40"/>
      <x:c r="N40"/>
      <x:c r="O40"/>
    </x:row>
    <x:row r="41">
      <x:c r="A41"/>
      <x:c r="B41"/>
      <x:c r="C41"/>
      <x:c r="D41"/>
      <x:c r="E41" s="40"/>
      <x:c r="F41" s="40"/>
      <x:c r="G41" s="40"/>
      <x:c r="H41" s="40"/>
      <x:c r="I41" s="40"/>
      <x:c r="J41" s="40"/>
      <x:c r="K41"/>
      <x:c r="L41"/>
      <x:c r="M41"/>
      <x:c r="N41"/>
      <x:c r="O41"/>
    </x:row>
    <x:row r="42">
      <x:c r="A42"/>
      <x:c r="B42"/>
      <x:c r="C42"/>
      <x:c r="D42"/>
      <x:c r="E42" s="40"/>
      <x:c r="F42" s="40"/>
      <x:c r="G42" s="40"/>
      <x:c r="H42" s="40"/>
      <x:c r="I42" s="40"/>
      <x:c r="J42" s="40"/>
      <x:c r="K42"/>
      <x:c r="L42"/>
      <x:c r="M42"/>
      <x:c r="N42"/>
      <x:c r="O42"/>
    </x:row>
    <x:row r="43">
      <x:c r="A43"/>
      <x:c r="B43"/>
      <x:c r="C43"/>
      <x:c r="D43"/>
      <x:c r="E43" s="40"/>
      <x:c r="F43" s="40"/>
      <x:c r="G43" s="40"/>
      <x:c r="H43" s="40"/>
      <x:c r="I43" s="40"/>
      <x:c r="J43" s="40"/>
      <x:c r="K43"/>
      <x:c r="L43"/>
      <x:c r="M43"/>
      <x:c r="N43"/>
      <x:c r="O43"/>
    </x:row>
    <x:row r="44">
      <x:c r="A44"/>
      <x:c r="B44"/>
      <x:c r="C44"/>
      <x:c r="D44"/>
      <x:c r="E44" s="40"/>
      <x:c r="F44" s="40"/>
      <x:c r="G44" s="40"/>
      <x:c r="H44" s="40"/>
      <x:c r="I44" s="40"/>
      <x:c r="J44" s="40"/>
      <x:c r="K44"/>
      <x:c r="L44"/>
      <x:c r="M44"/>
      <x:c r="N44"/>
      <x:c r="O44"/>
    </x:row>
    <x:row r="45">
      <x:c r="A45"/>
      <x:c r="B45"/>
      <x:c r="C45"/>
      <x:c r="D45"/>
      <x:c r="E45" s="40"/>
      <x:c r="F45" s="40"/>
      <x:c r="G45" s="40"/>
      <x:c r="H45" s="40"/>
      <x:c r="I45" s="40"/>
      <x:c r="J45" s="40"/>
      <x:c r="K45"/>
      <x:c r="L45"/>
      <x:c r="M45"/>
      <x:c r="N45"/>
      <x:c r="O45"/>
    </x:row>
    <x:row r="46">
      <x:c r="A46"/>
      <x:c r="B46"/>
      <x:c r="C46"/>
      <x:c r="D46"/>
      <x:c r="E46" s="40"/>
      <x:c r="F46" s="40"/>
      <x:c r="G46" s="40"/>
      <x:c r="H46" s="40"/>
      <x:c r="I46" s="40"/>
      <x:c r="J46" s="40"/>
      <x:c r="K46"/>
      <x:c r="L46"/>
      <x:c r="M46"/>
      <x:c r="N46"/>
      <x:c r="O46"/>
    </x:row>
    <x:row r="47">
      <x:c r="A47"/>
      <x:c r="B47"/>
      <x:c r="C47"/>
      <x:c r="D47"/>
      <x:c r="E47" s="40"/>
      <x:c r="F47" s="40"/>
      <x:c r="G47" s="40"/>
      <x:c r="H47" s="40"/>
      <x:c r="I47" s="40"/>
      <x:c r="J47" s="40"/>
      <x:c r="K47"/>
      <x:c r="L47"/>
      <x:c r="M47"/>
      <x:c r="N47"/>
      <x:c r="O47"/>
    </x:row>
    <x:row r="48">
      <x:c r="A48"/>
      <x:c r="B48"/>
      <x:c r="C48"/>
      <x:c r="D48"/>
      <x:c r="E48" s="40"/>
      <x:c r="F48" s="40"/>
      <x:c r="G48" s="40"/>
      <x:c r="H48" s="40"/>
      <x:c r="I48" s="40"/>
      <x:c r="J48" s="40"/>
      <x:c r="K48"/>
      <x:c r="L48"/>
      <x:c r="M48"/>
      <x:c r="N48"/>
      <x:c r="O48"/>
    </x:row>
    <x:row r="49">
      <x:c r="A49"/>
      <x:c r="B49"/>
      <x:c r="C49"/>
      <x:c r="D49"/>
      <x:c r="E49" s="40"/>
      <x:c r="F49" s="40"/>
      <x:c r="G49" s="40"/>
      <x:c r="H49" s="40"/>
      <x:c r="I49" s="40"/>
      <x:c r="J49" s="40"/>
      <x:c r="K49"/>
      <x:c r="L49"/>
      <x:c r="M49"/>
      <x:c r="N49"/>
      <x:c r="O49"/>
    </x:row>
    <x:row r="50">
      <x:c r="A50"/>
      <x:c r="B50"/>
      <x:c r="C50"/>
      <x:c r="D50"/>
      <x:c r="E50" s="40"/>
      <x:c r="F50" s="40"/>
      <x:c r="G50" s="40"/>
      <x:c r="H50" s="40"/>
      <x:c r="I50" s="40"/>
      <x:c r="J50" s="40"/>
      <x:c r="K50"/>
      <x:c r="L50"/>
      <x:c r="M50"/>
      <x:c r="N50"/>
      <x:c r="O50"/>
    </x:row>
    <x:row r="51">
      <x:c r="A51"/>
      <x:c r="B51"/>
      <x:c r="C51"/>
      <x:c r="D51"/>
      <x:c r="E51" s="40"/>
      <x:c r="F51" s="40"/>
      <x:c r="G51" s="40"/>
      <x:c r="H51" s="40"/>
      <x:c r="I51" s="40"/>
      <x:c r="J51" s="40"/>
      <x:c r="K51"/>
      <x:c r="L51"/>
      <x:c r="M51"/>
      <x:c r="N51"/>
      <x:c r="O51"/>
    </x:row>
    <x:row r="52">
      <x:c r="A52"/>
      <x:c r="B52"/>
      <x:c r="C52"/>
      <x:c r="D52"/>
      <x:c r="E52" s="40"/>
      <x:c r="F52" s="40"/>
      <x:c r="G52" s="40"/>
      <x:c r="H52" s="40"/>
      <x:c r="I52" s="40"/>
      <x:c r="J52" s="40"/>
      <x:c r="K52"/>
      <x:c r="L52"/>
      <x:c r="M52"/>
      <x:c r="N52"/>
      <x:c r="O52"/>
    </x:row>
    <x:row r="53">
      <x:c r="A53"/>
      <x:c r="B53"/>
      <x:c r="C53"/>
      <x:c r="D53"/>
      <x:c r="E53" s="40"/>
      <x:c r="F53" s="40"/>
      <x:c r="G53" s="40"/>
      <x:c r="H53" s="40"/>
      <x:c r="I53" s="40"/>
      <x:c r="J53" s="40"/>
      <x:c r="K53"/>
      <x:c r="L53"/>
      <x:c r="M53"/>
      <x:c r="N53"/>
      <x:c r="O53"/>
    </x:row>
    <x:row r="54">
      <x:c r="A54"/>
      <x:c r="B54"/>
      <x:c r="C54"/>
      <x:c r="D54"/>
      <x:c r="E54" s="40"/>
      <x:c r="F54" s="40"/>
      <x:c r="G54" s="40"/>
      <x:c r="H54" s="40"/>
      <x:c r="I54" s="40"/>
      <x:c r="J54" s="40"/>
      <x:c r="K54"/>
      <x:c r="L54"/>
      <x:c r="M54"/>
      <x:c r="N54"/>
      <x:c r="O54"/>
    </x:row>
    <x:row r="55">
      <x:c r="A55"/>
      <x:c r="B55"/>
      <x:c r="C55"/>
      <x:c r="D55"/>
      <x:c r="E55" s="40"/>
      <x:c r="F55" s="40"/>
      <x:c r="G55" s="40"/>
      <x:c r="H55" s="40"/>
      <x:c r="I55" s="40"/>
      <x:c r="J55" s="40"/>
      <x:c r="K55"/>
      <x:c r="L55"/>
      <x:c r="M55"/>
      <x:c r="N55"/>
      <x:c r="O55"/>
    </x:row>
    <x:row r="56">
      <x:c r="A56"/>
      <x:c r="B56"/>
      <x:c r="C56"/>
      <x:c r="D56"/>
      <x:c r="E56" s="40"/>
      <x:c r="F56" s="40"/>
      <x:c r="G56" s="40"/>
      <x:c r="H56" s="40"/>
      <x:c r="I56" s="40"/>
      <x:c r="J56" s="40"/>
      <x:c r="K56"/>
      <x:c r="L56"/>
      <x:c r="M56"/>
      <x:c r="N56"/>
      <x:c r="O56"/>
    </x:row>
    <x:row r="57">
      <x:c r="A57"/>
      <x:c r="B57"/>
      <x:c r="C57"/>
      <x:c r="D57"/>
      <x:c r="E57" s="40"/>
      <x:c r="F57" s="40"/>
      <x:c r="G57" s="40"/>
      <x:c r="H57" s="40"/>
      <x:c r="I57" s="40"/>
      <x:c r="J57" s="40"/>
      <x:c r="K57"/>
      <x:c r="L57"/>
      <x:c r="M57"/>
      <x:c r="N57"/>
      <x:c r="O57"/>
    </x:row>
    <x:row r="58">
      <x:c r="A58"/>
      <x:c r="B58"/>
      <x:c r="C58"/>
      <x:c r="D58"/>
      <x:c r="E58" s="40"/>
      <x:c r="F58" s="40"/>
      <x:c r="G58" s="40"/>
      <x:c r="H58" s="40"/>
      <x:c r="I58" s="40"/>
      <x:c r="J58" s="40"/>
      <x:c r="K58"/>
      <x:c r="L58"/>
      <x:c r="M58"/>
      <x:c r="N58"/>
      <x:c r="O58"/>
    </x:row>
    <x:row r="59">
      <x:c r="A59"/>
      <x:c r="B59"/>
      <x:c r="C59"/>
      <x:c r="D59"/>
      <x:c r="E59" s="40"/>
      <x:c r="F59" s="40"/>
      <x:c r="G59" s="40"/>
      <x:c r="H59" s="40"/>
      <x:c r="I59" s="40"/>
      <x:c r="J59" s="40"/>
      <x:c r="K59"/>
      <x:c r="L59"/>
      <x:c r="M59"/>
      <x:c r="N59"/>
      <x:c r="O59"/>
    </x:row>
    <x:row r="60">
      <x:c r="A60"/>
      <x:c r="B60"/>
      <x:c r="C60"/>
      <x:c r="D60"/>
      <x:c r="E60" s="40"/>
      <x:c r="F60" s="40"/>
      <x:c r="G60" s="40"/>
      <x:c r="H60" s="40"/>
      <x:c r="I60" s="40"/>
      <x:c r="J60" s="40"/>
      <x:c r="K60"/>
      <x:c r="L60"/>
      <x:c r="M60"/>
      <x:c r="N60"/>
      <x:c r="O60"/>
    </x:row>
    <x:row r="61">
      <x:c r="A61"/>
      <x:c r="B61"/>
      <x:c r="C61"/>
      <x:c r="D61"/>
      <x:c r="E61" s="40"/>
      <x:c r="F61" s="40"/>
      <x:c r="G61" s="40"/>
      <x:c r="H61" s="40"/>
      <x:c r="I61" s="40"/>
      <x:c r="J61" s="40"/>
      <x:c r="K61"/>
      <x:c r="L61"/>
      <x:c r="M61"/>
      <x:c r="N61"/>
      <x:c r="O61"/>
    </x:row>
    <x:row r="62">
      <x:c r="A62"/>
      <x:c r="B62"/>
      <x:c r="C62"/>
      <x:c r="D62"/>
      <x:c r="E62" s="40"/>
      <x:c r="F62" s="40"/>
      <x:c r="G62" s="40"/>
      <x:c r="H62" s="40"/>
      <x:c r="I62" s="40"/>
      <x:c r="J62" s="40"/>
      <x:c r="K62"/>
      <x:c r="L62"/>
      <x:c r="M62"/>
      <x:c r="N62"/>
      <x:c r="O62"/>
    </x:row>
    <x:row r="63">
      <x:c r="A63"/>
      <x:c r="B63"/>
      <x:c r="C63"/>
      <x:c r="D63"/>
      <x:c r="E63" s="40"/>
      <x:c r="F63" s="40"/>
      <x:c r="G63" s="40"/>
      <x:c r="H63" s="40"/>
      <x:c r="I63" s="40"/>
      <x:c r="J63" s="40"/>
      <x:c r="K63"/>
      <x:c r="L63"/>
      <x:c r="M63"/>
      <x:c r="N63"/>
      <x:c r="O63"/>
    </x:row>
    <x:row r="64">
      <x:c r="A64"/>
      <x:c r="B64"/>
      <x:c r="C64"/>
      <x:c r="D64"/>
      <x:c r="E64" s="40"/>
      <x:c r="F64" s="40"/>
      <x:c r="G64" s="40"/>
      <x:c r="H64" s="40"/>
      <x:c r="I64" s="40"/>
      <x:c r="J64" s="40"/>
      <x:c r="K64"/>
      <x:c r="L64"/>
      <x:c r="M64"/>
      <x:c r="N64"/>
      <x:c r="O64"/>
    </x:row>
    <x:row r="65">
      <x:c r="A65"/>
      <x:c r="B65"/>
      <x:c r="C65"/>
      <x:c r="D65"/>
      <x:c r="E65" s="40"/>
      <x:c r="F65" s="40"/>
      <x:c r="G65" s="40"/>
      <x:c r="H65" s="40"/>
      <x:c r="I65" s="40"/>
      <x:c r="J65" s="40"/>
      <x:c r="K65"/>
      <x:c r="L65"/>
      <x:c r="M65"/>
      <x:c r="N65"/>
      <x:c r="O65"/>
    </x:row>
    <x:row r="66">
      <x:c r="A66"/>
      <x:c r="B66"/>
      <x:c r="C66"/>
      <x:c r="D66"/>
      <x:c r="E66" s="40"/>
      <x:c r="F66" s="40"/>
      <x:c r="G66" s="40"/>
      <x:c r="H66" s="40"/>
      <x:c r="I66" s="40"/>
      <x:c r="J66" s="40"/>
      <x:c r="K66"/>
      <x:c r="L66"/>
      <x:c r="M66"/>
      <x:c r="N66"/>
      <x:c r="O66"/>
    </x:row>
    <x:row r="67">
      <x:c r="A67"/>
      <x:c r="B67"/>
      <x:c r="C67"/>
      <x:c r="D67"/>
      <x:c r="E67" s="40"/>
      <x:c r="F67" s="40"/>
      <x:c r="G67" s="40"/>
      <x:c r="H67" s="40"/>
      <x:c r="I67" s="40"/>
      <x:c r="J67" s="40"/>
      <x:c r="K67"/>
      <x:c r="L67"/>
      <x:c r="M67"/>
      <x:c r="N67"/>
      <x:c r="O67"/>
    </x:row>
    <x:row r="68">
      <x:c r="A68"/>
      <x:c r="B68"/>
      <x:c r="C68"/>
      <x:c r="D68"/>
      <x:c r="E68" s="40"/>
      <x:c r="F68" s="40"/>
      <x:c r="G68" s="40"/>
      <x:c r="H68" s="40"/>
      <x:c r="I68" s="40"/>
      <x:c r="J68" s="40"/>
      <x:c r="K68"/>
      <x:c r="L68"/>
      <x:c r="M68"/>
      <x:c r="N68"/>
      <x:c r="O68"/>
    </x:row>
    <x:row r="69">
      <x:c r="A69"/>
      <x:c r="B69"/>
      <x:c r="C69"/>
      <x:c r="D69"/>
      <x:c r="E69" s="40"/>
      <x:c r="F69" s="40"/>
      <x:c r="G69" s="40"/>
      <x:c r="H69" s="40"/>
      <x:c r="I69" s="40"/>
      <x:c r="J69" s="40"/>
      <x:c r="K69"/>
      <x:c r="L69"/>
      <x:c r="M69"/>
      <x:c r="N69"/>
      <x:c r="O69"/>
    </x:row>
    <x:row r="70">
      <x:c r="A70"/>
      <x:c r="B70"/>
      <x:c r="C70"/>
      <x:c r="D70"/>
      <x:c r="E70" s="40"/>
      <x:c r="F70" s="40"/>
      <x:c r="G70" s="40"/>
      <x:c r="H70" s="40"/>
      <x:c r="I70" s="40"/>
      <x:c r="J70" s="40"/>
      <x:c r="K70"/>
      <x:c r="L70"/>
      <x:c r="M70"/>
      <x:c r="N70"/>
      <x:c r="O70"/>
    </x:row>
    <x:row r="71">
      <x:c r="A71"/>
      <x:c r="B71"/>
      <x:c r="C71"/>
      <x:c r="D71"/>
      <x:c r="E71" s="40"/>
      <x:c r="F71" s="40"/>
      <x:c r="G71" s="40"/>
      <x:c r="H71" s="40"/>
      <x:c r="I71" s="40"/>
      <x:c r="J71" s="40"/>
      <x:c r="K71"/>
      <x:c r="L71"/>
      <x:c r="M71"/>
      <x:c r="N71"/>
      <x:c r="O71"/>
    </x:row>
    <x:row r="72">
      <x:c r="A72"/>
      <x:c r="B72"/>
      <x:c r="C72"/>
      <x:c r="D72"/>
      <x:c r="E72" s="40"/>
      <x:c r="F72" s="40"/>
      <x:c r="G72" s="40"/>
      <x:c r="H72" s="40"/>
      <x:c r="I72" s="40"/>
      <x:c r="J72" s="40"/>
      <x:c r="K72"/>
      <x:c r="L72"/>
      <x:c r="M72"/>
      <x:c r="N72"/>
      <x:c r="O72"/>
    </x:row>
    <x:row r="73">
      <x:c r="A73"/>
      <x:c r="B73"/>
      <x:c r="C73"/>
      <x:c r="D73"/>
      <x:c r="E73" s="40"/>
      <x:c r="F73" s="40"/>
      <x:c r="G73" s="40"/>
      <x:c r="H73" s="40"/>
      <x:c r="I73" s="40"/>
      <x:c r="J73" s="40"/>
      <x:c r="K73"/>
      <x:c r="L73"/>
      <x:c r="M73"/>
      <x:c r="N73"/>
      <x:c r="O73"/>
    </x:row>
    <x:row r="74">
      <x:c r="A74"/>
      <x:c r="B74"/>
      <x:c r="C74"/>
      <x:c r="D74"/>
      <x:c r="E74" s="40"/>
      <x:c r="F74" s="40"/>
      <x:c r="G74" s="40"/>
      <x:c r="H74" s="40"/>
      <x:c r="I74" s="40"/>
      <x:c r="J74" s="40"/>
      <x:c r="K74"/>
      <x:c r="L74"/>
      <x:c r="M74"/>
      <x:c r="N74"/>
      <x:c r="O74"/>
    </x:row>
    <x:row r="75">
      <x:c r="A75"/>
      <x:c r="B75"/>
      <x:c r="C75"/>
      <x:c r="D75"/>
      <x:c r="E75" s="40"/>
      <x:c r="F75" s="40"/>
      <x:c r="G75" s="40"/>
      <x:c r="H75" s="40"/>
      <x:c r="I75" s="40"/>
      <x:c r="J75" s="40"/>
      <x:c r="K75"/>
      <x:c r="L75"/>
      <x:c r="M75"/>
      <x:c r="N75"/>
      <x:c r="O75"/>
    </x:row>
    <x:row r="76">
      <x:c r="A76"/>
      <x:c r="B76"/>
      <x:c r="C76"/>
      <x:c r="D76"/>
      <x:c r="E76" s="40"/>
      <x:c r="F76" s="40"/>
      <x:c r="G76" s="40"/>
      <x:c r="H76" s="40"/>
      <x:c r="I76" s="40"/>
      <x:c r="J76" s="40"/>
      <x:c r="K76"/>
      <x:c r="L76"/>
      <x:c r="M76"/>
      <x:c r="N76"/>
      <x:c r="O76"/>
    </x:row>
    <x:row r="77">
      <x:c r="A77"/>
      <x:c r="B77"/>
      <x:c r="C77"/>
      <x:c r="D77"/>
      <x:c r="E77" s="40"/>
      <x:c r="F77" s="40"/>
      <x:c r="G77" s="40"/>
      <x:c r="H77" s="40"/>
      <x:c r="I77" s="40"/>
      <x:c r="J77" s="40"/>
      <x:c r="K77"/>
      <x:c r="L77"/>
      <x:c r="M77"/>
      <x:c r="N77"/>
      <x:c r="O77"/>
    </x:row>
    <x:row r="78">
      <x:c r="A78"/>
      <x:c r="B78"/>
      <x:c r="C78"/>
      <x:c r="D78"/>
      <x:c r="E78" s="40"/>
      <x:c r="F78" s="40"/>
      <x:c r="G78" s="40"/>
      <x:c r="H78" s="40"/>
      <x:c r="I78" s="40"/>
      <x:c r="J78" s="40"/>
      <x:c r="K78"/>
      <x:c r="L78"/>
      <x:c r="M78"/>
      <x:c r="N78"/>
      <x:c r="O78"/>
    </x:row>
    <x:row r="79">
      <x:c r="A79"/>
      <x:c r="B79"/>
      <x:c r="C79"/>
      <x:c r="D79"/>
      <x:c r="E79" s="40"/>
      <x:c r="F79" s="40"/>
      <x:c r="G79" s="40"/>
      <x:c r="H79" s="40"/>
      <x:c r="I79" s="40"/>
      <x:c r="J79" s="40"/>
      <x:c r="K79"/>
      <x:c r="L79"/>
      <x:c r="M79"/>
      <x:c r="N79"/>
      <x:c r="O79"/>
    </x:row>
    <x:row r="80">
      <x:c r="A80"/>
      <x:c r="B80"/>
      <x:c r="C80"/>
      <x:c r="D80"/>
      <x:c r="E80" s="40"/>
      <x:c r="F80" s="40"/>
      <x:c r="G80" s="40"/>
      <x:c r="H80" s="40"/>
      <x:c r="I80" s="40"/>
      <x:c r="J80" s="40"/>
      <x:c r="K80"/>
      <x:c r="L80"/>
      <x:c r="M80"/>
      <x:c r="N80"/>
      <x:c r="O80"/>
    </x:row>
  </x:sheetData>
  <x:pageMargins left="0.7" right="0.7" top="0.75" bottom="0.75" header="0.3" footer="0.3"/>
</x:worksheet>
</file>